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G:\Mi unidad\Fernando\Curso golf\players\"/>
    </mc:Choice>
  </mc:AlternateContent>
  <xr:revisionPtr revIDLastSave="0" documentId="13_ncr:1_{3440547F-64B1-41D0-9B69-4FE624E995AD}" xr6:coauthVersionLast="47" xr6:coauthVersionMax="47" xr10:uidLastSave="{00000000-0000-0000-0000-000000000000}"/>
  <bookViews>
    <workbookView xWindow="-108" yWindow="-108" windowWidth="23256" windowHeight="12456" activeTab="4" xr2:uid="{E168F142-D4C6-4E8C-9803-0A60B8879AA8}"/>
  </bookViews>
  <sheets>
    <sheet name="SABADO" sheetId="16" r:id="rId1"/>
    <sheet name="VIERNES" sheetId="15" r:id="rId2"/>
    <sheet name="jugadores" sheetId="10" r:id="rId3"/>
    <sheet name="the president" sheetId="12" r:id="rId4"/>
    <sheet name="Indices" sheetId="1" r:id="rId5"/>
    <sheet name="Equipos" sheetId="4" r:id="rId6"/>
    <sheet name="Resultados" sheetId="5" r:id="rId7"/>
    <sheet name="Hoja2" sheetId="11" r:id="rId8"/>
    <sheet name="Puntos" sheetId="6" r:id="rId9"/>
    <sheet name="Palmares" sheetId="7" r:id="rId10"/>
    <sheet name="Hoja3" sheetId="13" r:id="rId11"/>
    <sheet name="Hoja1" sheetId="8" state="hidden" r:id="rId12"/>
  </sheets>
  <definedNames>
    <definedName name="_xlnm._FilterDatabase" localSheetId="4" hidden="1">Indices!$G$1:$G$19</definedName>
    <definedName name="_xlnm._FilterDatabase" localSheetId="2" hidden="1">jugadores!$A$1:$I$202</definedName>
    <definedName name="_xlnm._FilterDatabase" localSheetId="9" hidden="1">Palmares!#REF!</definedName>
    <definedName name="_xlnm._FilterDatabase" localSheetId="6" hidden="1">Resultados!$A$1:$P$249</definedName>
    <definedName name="_xlnm._FilterDatabase" localSheetId="0" hidden="1">SABADO!$C$8:$I$33</definedName>
    <definedName name="_xlnm._FilterDatabase" localSheetId="3" hidden="1">'the president'!$K$1:$K$203</definedName>
    <definedName name="_xlnm._FilterDatabase" localSheetId="1" hidden="1">VIERNES!$C$3:$K$29</definedName>
    <definedName name="_xlnm.Print_Area" localSheetId="0">SABADO!$B$7:$K$31</definedName>
    <definedName name="_xlnm.Print_Area" localSheetId="3">'the president'!$A$1:$J$67</definedName>
    <definedName name="_xlnm.Print_Area" localSheetId="1">VIERNES!$B$1:$M$27</definedName>
    <definedName name="RESULTADOS">Resultados!$A$1:$P$362</definedName>
  </definedNames>
  <calcPr calcId="191029"/>
  <pivotCaches>
    <pivotCache cacheId="0" r:id="rId13"/>
    <pivotCache cacheId="1" r:id="rId14"/>
    <pivotCache cacheId="2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69" i="12" l="1"/>
  <c r="J64" i="12"/>
  <c r="J63" i="12"/>
  <c r="G71" i="12"/>
  <c r="G66" i="12"/>
  <c r="G63" i="12"/>
  <c r="J31" i="12"/>
  <c r="J50" i="12"/>
  <c r="J305" i="5"/>
  <c r="J304" i="5"/>
  <c r="J303" i="5"/>
  <c r="J302" i="5"/>
  <c r="J301" i="5"/>
  <c r="J300" i="5"/>
  <c r="J299" i="5"/>
  <c r="J298" i="5"/>
  <c r="G57" i="12"/>
  <c r="J49" i="12"/>
  <c r="J48" i="12"/>
  <c r="J47" i="12"/>
  <c r="J42" i="12"/>
  <c r="J41" i="12"/>
  <c r="J39" i="12"/>
  <c r="J38" i="12"/>
  <c r="J37" i="12"/>
  <c r="J36" i="12"/>
  <c r="J35" i="12"/>
  <c r="J34" i="12"/>
  <c r="J33" i="12"/>
  <c r="J32" i="12"/>
  <c r="J19" i="12"/>
  <c r="J18" i="12"/>
  <c r="J16" i="12"/>
  <c r="J15" i="12"/>
  <c r="J14" i="12"/>
  <c r="J13" i="12"/>
  <c r="J12" i="12"/>
  <c r="J11" i="12"/>
  <c r="J10" i="12"/>
  <c r="J8" i="12"/>
  <c r="J7" i="12"/>
  <c r="J6" i="12"/>
  <c r="J5" i="12"/>
  <c r="J4" i="12"/>
  <c r="J3" i="12"/>
  <c r="N2" i="12"/>
  <c r="I46" i="12" s="1"/>
  <c r="J46" i="12" s="1"/>
  <c r="I51" i="12" l="1"/>
  <c r="J51" i="12" s="1"/>
  <c r="I52" i="12"/>
  <c r="J52" i="12" s="1"/>
  <c r="I22" i="12"/>
  <c r="J22" i="12" s="1"/>
  <c r="I40" i="12"/>
  <c r="J40" i="12" s="1"/>
  <c r="I43" i="12"/>
  <c r="J43" i="12" s="1"/>
  <c r="I20" i="12"/>
  <c r="J20" i="12" s="1"/>
  <c r="I21" i="12"/>
  <c r="J21" i="12" s="1"/>
  <c r="I9" i="12"/>
  <c r="J9" i="12" s="1"/>
  <c r="I44" i="12"/>
  <c r="J44" i="12" s="1"/>
  <c r="I23" i="12"/>
  <c r="J23" i="12" s="1"/>
  <c r="I45" i="12"/>
  <c r="J45" i="12" s="1"/>
  <c r="I17" i="12"/>
  <c r="I24" i="12"/>
  <c r="J24" i="12" s="1"/>
  <c r="J53" i="12" l="1"/>
  <c r="I53" i="12"/>
  <c r="I25" i="12"/>
  <c r="J17" i="12"/>
  <c r="J25" i="12" s="1"/>
  <c r="I56" i="12" l="1"/>
  <c r="M17" i="12"/>
  <c r="J54" i="12"/>
  <c r="J26" i="12"/>
  <c r="G56" i="12"/>
  <c r="G59" i="12" s="1"/>
  <c r="I58" i="13"/>
  <c r="M54" i="13"/>
  <c r="K4" i="13"/>
  <c r="K5" i="13"/>
  <c r="K6" i="13"/>
  <c r="K7" i="13"/>
  <c r="K8" i="13"/>
  <c r="K10" i="13"/>
  <c r="K11" i="13"/>
  <c r="K12" i="13"/>
  <c r="K14" i="13"/>
  <c r="K16" i="13"/>
  <c r="K18" i="13"/>
  <c r="K19" i="13"/>
  <c r="K20" i="13"/>
  <c r="K22" i="13"/>
  <c r="K23" i="13"/>
  <c r="K24" i="13"/>
  <c r="K26" i="13"/>
  <c r="K27" i="13"/>
  <c r="K28" i="13"/>
  <c r="K29" i="13"/>
  <c r="K30" i="13"/>
  <c r="K32" i="13"/>
  <c r="K34" i="13"/>
  <c r="K35" i="13"/>
  <c r="K36" i="13"/>
  <c r="K37" i="13"/>
  <c r="K38" i="13"/>
  <c r="K39" i="13"/>
  <c r="K43" i="13"/>
  <c r="K45" i="13"/>
  <c r="K49" i="13"/>
  <c r="K3" i="13"/>
  <c r="J3" i="13"/>
  <c r="J4" i="13"/>
  <c r="J54" i="13" s="1"/>
  <c r="J5" i="13"/>
  <c r="J6" i="13"/>
  <c r="J7" i="13"/>
  <c r="J8" i="13"/>
  <c r="M9" i="13"/>
  <c r="J10" i="13"/>
  <c r="J11" i="13"/>
  <c r="J12" i="13"/>
  <c r="M13" i="13"/>
  <c r="J14" i="13"/>
  <c r="M15" i="13"/>
  <c r="M16" i="13"/>
  <c r="M17" i="13"/>
  <c r="J18" i="13"/>
  <c r="M19" i="13"/>
  <c r="J20" i="13"/>
  <c r="M21" i="13"/>
  <c r="J22" i="13"/>
  <c r="J23" i="13"/>
  <c r="J24" i="13"/>
  <c r="M25" i="13"/>
  <c r="J26" i="13"/>
  <c r="J27" i="13"/>
  <c r="J28" i="13"/>
  <c r="J29" i="13"/>
  <c r="J30" i="13"/>
  <c r="M31" i="13"/>
  <c r="J32" i="13"/>
  <c r="M33" i="13"/>
  <c r="J34" i="13"/>
  <c r="J35" i="13"/>
  <c r="J36" i="13"/>
  <c r="J37" i="13"/>
  <c r="J38" i="13"/>
  <c r="J39" i="13"/>
  <c r="M40" i="13"/>
  <c r="M41" i="13"/>
  <c r="M42" i="13"/>
  <c r="J43" i="13"/>
  <c r="M44" i="13"/>
  <c r="J45" i="13"/>
  <c r="M46" i="13"/>
  <c r="J47" i="13"/>
  <c r="M48" i="13"/>
  <c r="J49" i="13"/>
  <c r="M50" i="13"/>
  <c r="M51" i="13"/>
  <c r="M52" i="13"/>
  <c r="M53" i="13"/>
  <c r="P8" i="12"/>
  <c r="J297" i="5"/>
  <c r="J296" i="5"/>
  <c r="J295" i="5"/>
  <c r="J294" i="5"/>
  <c r="J293" i="5"/>
  <c r="J292" i="5"/>
  <c r="J291" i="5"/>
  <c r="J289" i="5"/>
  <c r="J290" i="5"/>
  <c r="J288" i="5"/>
  <c r="J286" i="5"/>
  <c r="J287" i="5"/>
  <c r="J285" i="5"/>
  <c r="J284" i="5"/>
  <c r="J283" i="5"/>
  <c r="J282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65" i="5"/>
  <c r="J264" i="5"/>
  <c r="J263" i="5"/>
  <c r="J262" i="5"/>
  <c r="J261" i="5"/>
  <c r="J260" i="5"/>
  <c r="J259" i="5"/>
  <c r="J258" i="5"/>
  <c r="J257" i="5"/>
  <c r="J256" i="5"/>
  <c r="J255" i="5"/>
  <c r="J254" i="5"/>
  <c r="J253" i="5"/>
  <c r="J252" i="5"/>
  <c r="J251" i="5"/>
  <c r="J250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L58" i="13" l="1"/>
  <c r="N55" i="13"/>
  <c r="K54" i="13"/>
  <c r="J176" i="5"/>
  <c r="J177" i="5"/>
  <c r="J178" i="5"/>
  <c r="J179" i="5"/>
  <c r="J180" i="5"/>
  <c r="J181" i="5"/>
  <c r="J182" i="5"/>
  <c r="J183" i="5"/>
  <c r="J184" i="5"/>
  <c r="J185" i="5"/>
  <c r="J186" i="5"/>
  <c r="J187" i="5"/>
  <c r="J175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Y2" i="6"/>
  <c r="S3" i="6"/>
  <c r="J151" i="5"/>
  <c r="J152" i="5"/>
  <c r="J153" i="5"/>
  <c r="J154" i="5"/>
  <c r="J155" i="5"/>
  <c r="J156" i="5"/>
  <c r="J145" i="5"/>
  <c r="J146" i="5"/>
  <c r="J147" i="5"/>
  <c r="J148" i="5"/>
  <c r="J149" i="5"/>
  <c r="J150" i="5"/>
  <c r="M2" i="6"/>
  <c r="V2" i="6"/>
  <c r="S2" i="6"/>
  <c r="S9" i="6" s="1"/>
  <c r="J125" i="5"/>
  <c r="M8" i="6" l="1"/>
  <c r="I202" i="10" l="1"/>
  <c r="H202" i="10"/>
  <c r="G202" i="10"/>
  <c r="I201" i="10"/>
  <c r="G201" i="10"/>
  <c r="H201" i="10" s="1"/>
  <c r="I200" i="10"/>
  <c r="G200" i="10"/>
  <c r="H200" i="10" s="1"/>
  <c r="I199" i="10"/>
  <c r="G199" i="10"/>
  <c r="H199" i="10" s="1"/>
  <c r="I198" i="10"/>
  <c r="H198" i="10"/>
  <c r="G198" i="10"/>
  <c r="I197" i="10"/>
  <c r="G197" i="10"/>
  <c r="H197" i="10" s="1"/>
  <c r="I196" i="10"/>
  <c r="G196" i="10"/>
  <c r="H196" i="10" s="1"/>
  <c r="I195" i="10"/>
  <c r="G195" i="10"/>
  <c r="H195" i="10" s="1"/>
  <c r="I194" i="10"/>
  <c r="H194" i="10"/>
  <c r="G194" i="10"/>
  <c r="I193" i="10"/>
  <c r="G193" i="10"/>
  <c r="H193" i="10" s="1"/>
  <c r="I192" i="10"/>
  <c r="G192" i="10"/>
  <c r="H192" i="10" s="1"/>
  <c r="I191" i="10"/>
  <c r="G191" i="10"/>
  <c r="H191" i="10" s="1"/>
  <c r="I190" i="10"/>
  <c r="H190" i="10"/>
  <c r="G190" i="10"/>
  <c r="I189" i="10"/>
  <c r="G189" i="10"/>
  <c r="H189" i="10" s="1"/>
  <c r="I188" i="10"/>
  <c r="G188" i="10"/>
  <c r="H188" i="10" s="1"/>
  <c r="I187" i="10"/>
  <c r="G187" i="10"/>
  <c r="H187" i="10" s="1"/>
  <c r="I186" i="10"/>
  <c r="H186" i="10"/>
  <c r="G186" i="10"/>
  <c r="I185" i="10"/>
  <c r="H185" i="10"/>
  <c r="I184" i="10"/>
  <c r="G184" i="10"/>
  <c r="H184" i="10" s="1"/>
  <c r="I183" i="10"/>
  <c r="G183" i="10"/>
  <c r="H183" i="10" s="1"/>
  <c r="I182" i="10"/>
  <c r="G182" i="10"/>
  <c r="H182" i="10" s="1"/>
  <c r="I181" i="10"/>
  <c r="G181" i="10"/>
  <c r="H181" i="10" s="1"/>
  <c r="I180" i="10"/>
  <c r="G180" i="10"/>
  <c r="H180" i="10" s="1"/>
  <c r="I179" i="10"/>
  <c r="G179" i="10"/>
  <c r="H179" i="10" s="1"/>
  <c r="I178" i="10"/>
  <c r="G178" i="10"/>
  <c r="H178" i="10" s="1"/>
  <c r="I177" i="10"/>
  <c r="G177" i="10"/>
  <c r="H177" i="10" s="1"/>
  <c r="I176" i="10"/>
  <c r="G176" i="10"/>
  <c r="H176" i="10" s="1"/>
  <c r="I175" i="10"/>
  <c r="G175" i="10"/>
  <c r="H175" i="10" s="1"/>
  <c r="I174" i="10"/>
  <c r="G174" i="10"/>
  <c r="H174" i="10" s="1"/>
  <c r="I173" i="10"/>
  <c r="G173" i="10"/>
  <c r="H173" i="10" s="1"/>
  <c r="I172" i="10"/>
  <c r="H172" i="10"/>
  <c r="G172" i="10"/>
  <c r="I171" i="10"/>
  <c r="G171" i="10"/>
  <c r="H171" i="10" s="1"/>
  <c r="I170" i="10"/>
  <c r="G170" i="10"/>
  <c r="H170" i="10" s="1"/>
  <c r="I169" i="10"/>
  <c r="G169" i="10"/>
  <c r="H169" i="10" s="1"/>
  <c r="I168" i="10"/>
  <c r="G168" i="10"/>
  <c r="H168" i="10" s="1"/>
  <c r="I167" i="10"/>
  <c r="G167" i="10"/>
  <c r="H167" i="10" s="1"/>
  <c r="I166" i="10"/>
  <c r="G166" i="10"/>
  <c r="H166" i="10" s="1"/>
  <c r="I165" i="10"/>
  <c r="G165" i="10"/>
  <c r="H165" i="10" s="1"/>
  <c r="I164" i="10"/>
  <c r="G164" i="10"/>
  <c r="H164" i="10" s="1"/>
  <c r="I163" i="10"/>
  <c r="H163" i="10"/>
  <c r="G163" i="10"/>
  <c r="I162" i="10"/>
  <c r="G162" i="10"/>
  <c r="H162" i="10" s="1"/>
  <c r="I161" i="10"/>
  <c r="G161" i="10"/>
  <c r="H161" i="10" s="1"/>
  <c r="I160" i="10"/>
  <c r="G160" i="10"/>
  <c r="H160" i="10" s="1"/>
  <c r="I159" i="10"/>
  <c r="G159" i="10"/>
  <c r="H159" i="10" s="1"/>
  <c r="I158" i="10"/>
  <c r="G158" i="10"/>
  <c r="H158" i="10" s="1"/>
  <c r="I157" i="10"/>
  <c r="G157" i="10"/>
  <c r="H157" i="10" s="1"/>
  <c r="I156" i="10"/>
  <c r="G156" i="10"/>
  <c r="H156" i="10" s="1"/>
  <c r="I155" i="10"/>
  <c r="G155" i="10"/>
  <c r="H155" i="10" s="1"/>
  <c r="I154" i="10"/>
  <c r="G154" i="10"/>
  <c r="H154" i="10" s="1"/>
  <c r="I153" i="10"/>
  <c r="G153" i="10"/>
  <c r="H153" i="10" s="1"/>
  <c r="I152" i="10"/>
  <c r="G152" i="10"/>
  <c r="H152" i="10" s="1"/>
  <c r="I151" i="10"/>
  <c r="G151" i="10"/>
  <c r="H151" i="10" s="1"/>
  <c r="I150" i="10"/>
  <c r="G150" i="10"/>
  <c r="H150" i="10" s="1"/>
  <c r="I149" i="10"/>
  <c r="G149" i="10"/>
  <c r="H149" i="10" s="1"/>
  <c r="I148" i="10"/>
  <c r="H148" i="10"/>
  <c r="G148" i="10"/>
  <c r="I147" i="10"/>
  <c r="G147" i="10"/>
  <c r="H147" i="10" s="1"/>
  <c r="I146" i="10"/>
  <c r="G146" i="10"/>
  <c r="H146" i="10" s="1"/>
  <c r="I145" i="10"/>
  <c r="G145" i="10"/>
  <c r="H145" i="10" s="1"/>
  <c r="I144" i="10"/>
  <c r="G144" i="10"/>
  <c r="H144" i="10" s="1"/>
  <c r="I143" i="10"/>
  <c r="G143" i="10"/>
  <c r="H143" i="10" s="1"/>
  <c r="I142" i="10"/>
  <c r="G142" i="10"/>
  <c r="H142" i="10" s="1"/>
  <c r="I141" i="10"/>
  <c r="G141" i="10"/>
  <c r="H141" i="10" s="1"/>
  <c r="I140" i="10"/>
  <c r="G140" i="10"/>
  <c r="H140" i="10" s="1"/>
  <c r="I139" i="10"/>
  <c r="H139" i="10"/>
  <c r="G139" i="10"/>
  <c r="I138" i="10"/>
  <c r="G138" i="10"/>
  <c r="H138" i="10" s="1"/>
  <c r="I137" i="10"/>
  <c r="G137" i="10"/>
  <c r="H137" i="10" s="1"/>
  <c r="I136" i="10"/>
  <c r="G136" i="10"/>
  <c r="H136" i="10" s="1"/>
  <c r="I135" i="10"/>
  <c r="G135" i="10"/>
  <c r="H135" i="10" s="1"/>
  <c r="I134" i="10"/>
  <c r="G134" i="10"/>
  <c r="H134" i="10" s="1"/>
  <c r="I133" i="10"/>
  <c r="G133" i="10"/>
  <c r="H133" i="10" s="1"/>
  <c r="I132" i="10"/>
  <c r="G132" i="10"/>
  <c r="H132" i="10" s="1"/>
  <c r="I131" i="10"/>
  <c r="G131" i="10"/>
  <c r="H131" i="10" s="1"/>
  <c r="I130" i="10"/>
  <c r="G130" i="10"/>
  <c r="H130" i="10" s="1"/>
  <c r="I129" i="10"/>
  <c r="G129" i="10"/>
  <c r="H129" i="10" s="1"/>
  <c r="I128" i="10"/>
  <c r="G128" i="10"/>
  <c r="H128" i="10" s="1"/>
  <c r="I127" i="10"/>
  <c r="G127" i="10"/>
  <c r="H127" i="10" s="1"/>
  <c r="I126" i="10"/>
  <c r="G126" i="10"/>
  <c r="H126" i="10" s="1"/>
  <c r="I125" i="10"/>
  <c r="G125" i="10"/>
  <c r="H125" i="10" s="1"/>
  <c r="I124" i="10"/>
  <c r="H124" i="10"/>
  <c r="G124" i="10"/>
  <c r="I123" i="10"/>
  <c r="G123" i="10"/>
  <c r="H123" i="10" s="1"/>
  <c r="I122" i="10"/>
  <c r="G122" i="10"/>
  <c r="H122" i="10" s="1"/>
  <c r="I121" i="10"/>
  <c r="G121" i="10"/>
  <c r="H121" i="10" s="1"/>
  <c r="I120" i="10"/>
  <c r="G120" i="10"/>
  <c r="H120" i="10" s="1"/>
  <c r="I119" i="10"/>
  <c r="G119" i="10"/>
  <c r="H119" i="10" s="1"/>
  <c r="I118" i="10"/>
  <c r="G118" i="10"/>
  <c r="H118" i="10" s="1"/>
  <c r="I117" i="10"/>
  <c r="G117" i="10"/>
  <c r="H117" i="10" s="1"/>
  <c r="I116" i="10"/>
  <c r="G116" i="10"/>
  <c r="H116" i="10" s="1"/>
  <c r="I115" i="10"/>
  <c r="H115" i="10"/>
  <c r="G115" i="10"/>
  <c r="I114" i="10"/>
  <c r="G114" i="10"/>
  <c r="H114" i="10" s="1"/>
  <c r="I113" i="10"/>
  <c r="G113" i="10"/>
  <c r="H113" i="10" s="1"/>
  <c r="I112" i="10"/>
  <c r="G112" i="10"/>
  <c r="H112" i="10" s="1"/>
  <c r="I111" i="10"/>
  <c r="G111" i="10"/>
  <c r="H111" i="10" s="1"/>
  <c r="I110" i="10"/>
  <c r="G110" i="10"/>
  <c r="H110" i="10" s="1"/>
  <c r="I109" i="10"/>
  <c r="G109" i="10"/>
  <c r="H109" i="10" s="1"/>
  <c r="I108" i="10"/>
  <c r="G108" i="10"/>
  <c r="H108" i="10" s="1"/>
  <c r="I107" i="10"/>
  <c r="G107" i="10"/>
  <c r="H107" i="10" s="1"/>
  <c r="I106" i="10"/>
  <c r="G106" i="10"/>
  <c r="H106" i="10" s="1"/>
  <c r="I105" i="10"/>
  <c r="G105" i="10"/>
  <c r="H105" i="10" s="1"/>
  <c r="I104" i="10"/>
  <c r="G104" i="10"/>
  <c r="H104" i="10" s="1"/>
  <c r="I103" i="10"/>
  <c r="G103" i="10"/>
  <c r="H103" i="10" s="1"/>
  <c r="I102" i="10"/>
  <c r="G102" i="10"/>
  <c r="H102" i="10" s="1"/>
  <c r="I101" i="10"/>
  <c r="G101" i="10"/>
  <c r="H101" i="10" s="1"/>
  <c r="I100" i="10"/>
  <c r="H100" i="10"/>
  <c r="G100" i="10"/>
  <c r="I99" i="10"/>
  <c r="G99" i="10"/>
  <c r="H99" i="10" s="1"/>
  <c r="I98" i="10"/>
  <c r="G98" i="10"/>
  <c r="H98" i="10" s="1"/>
  <c r="I97" i="10"/>
  <c r="G97" i="10"/>
  <c r="H97" i="10" s="1"/>
  <c r="I96" i="10"/>
  <c r="G96" i="10"/>
  <c r="H96" i="10" s="1"/>
  <c r="I95" i="10"/>
  <c r="G95" i="10"/>
  <c r="H95" i="10" s="1"/>
  <c r="I94" i="10"/>
  <c r="G94" i="10"/>
  <c r="H94" i="10" s="1"/>
  <c r="I93" i="10"/>
  <c r="G93" i="10"/>
  <c r="H93" i="10" s="1"/>
  <c r="I92" i="10"/>
  <c r="G92" i="10"/>
  <c r="H92" i="10" s="1"/>
  <c r="I91" i="10"/>
  <c r="H91" i="10"/>
  <c r="G91" i="10"/>
  <c r="I90" i="10"/>
  <c r="G90" i="10"/>
  <c r="H90" i="10" s="1"/>
  <c r="I89" i="10"/>
  <c r="G89" i="10"/>
  <c r="H89" i="10" s="1"/>
  <c r="I88" i="10"/>
  <c r="G88" i="10"/>
  <c r="H88" i="10" s="1"/>
  <c r="I87" i="10"/>
  <c r="G87" i="10"/>
  <c r="H87" i="10" s="1"/>
  <c r="I86" i="10"/>
  <c r="G86" i="10"/>
  <c r="H86" i="10" s="1"/>
  <c r="I85" i="10"/>
  <c r="G85" i="10"/>
  <c r="H85" i="10" s="1"/>
  <c r="I84" i="10"/>
  <c r="G84" i="10"/>
  <c r="H84" i="10" s="1"/>
  <c r="I83" i="10"/>
  <c r="G83" i="10"/>
  <c r="H83" i="10" s="1"/>
  <c r="I82" i="10"/>
  <c r="G82" i="10"/>
  <c r="H82" i="10" s="1"/>
  <c r="I81" i="10"/>
  <c r="G81" i="10"/>
  <c r="H81" i="10" s="1"/>
  <c r="I80" i="10"/>
  <c r="G80" i="10"/>
  <c r="H80" i="10" s="1"/>
  <c r="I79" i="10"/>
  <c r="G79" i="10"/>
  <c r="H79" i="10" s="1"/>
  <c r="I78" i="10"/>
  <c r="G78" i="10"/>
  <c r="H78" i="10" s="1"/>
  <c r="I77" i="10"/>
  <c r="G77" i="10"/>
  <c r="H77" i="10" s="1"/>
  <c r="I76" i="10"/>
  <c r="H76" i="10"/>
  <c r="G76" i="10"/>
  <c r="I75" i="10"/>
  <c r="G75" i="10"/>
  <c r="H75" i="10" s="1"/>
  <c r="I74" i="10"/>
  <c r="G74" i="10"/>
  <c r="H74" i="10" s="1"/>
  <c r="I73" i="10"/>
  <c r="G73" i="10"/>
  <c r="H73" i="10" s="1"/>
  <c r="I72" i="10"/>
  <c r="G72" i="10"/>
  <c r="H72" i="10" s="1"/>
  <c r="I71" i="10"/>
  <c r="G71" i="10"/>
  <c r="H71" i="10" s="1"/>
  <c r="I70" i="10"/>
  <c r="G70" i="10"/>
  <c r="H70" i="10" s="1"/>
  <c r="I69" i="10"/>
  <c r="G69" i="10"/>
  <c r="H69" i="10" s="1"/>
  <c r="I68" i="10"/>
  <c r="G68" i="10"/>
  <c r="H68" i="10" s="1"/>
  <c r="I67" i="10"/>
  <c r="H67" i="10"/>
  <c r="G67" i="10"/>
  <c r="I66" i="10"/>
  <c r="G66" i="10"/>
  <c r="H66" i="10" s="1"/>
  <c r="I65" i="10"/>
  <c r="G65" i="10"/>
  <c r="H65" i="10" s="1"/>
  <c r="I64" i="10"/>
  <c r="G64" i="10"/>
  <c r="H64" i="10" s="1"/>
  <c r="I63" i="10"/>
  <c r="G63" i="10"/>
  <c r="H63" i="10" s="1"/>
  <c r="I62" i="10"/>
  <c r="G62" i="10"/>
  <c r="H62" i="10" s="1"/>
  <c r="I61" i="10"/>
  <c r="G61" i="10"/>
  <c r="H61" i="10" s="1"/>
  <c r="I60" i="10"/>
  <c r="G60" i="10"/>
  <c r="H60" i="10" s="1"/>
  <c r="I59" i="10"/>
  <c r="G59" i="10"/>
  <c r="H59" i="10" s="1"/>
  <c r="I58" i="10"/>
  <c r="G58" i="10"/>
  <c r="H58" i="10" s="1"/>
  <c r="I57" i="10"/>
  <c r="G57" i="10"/>
  <c r="H57" i="10" s="1"/>
  <c r="I56" i="10"/>
  <c r="G56" i="10"/>
  <c r="H56" i="10" s="1"/>
  <c r="I55" i="10"/>
  <c r="G55" i="10"/>
  <c r="H55" i="10" s="1"/>
  <c r="I54" i="10"/>
  <c r="G54" i="10"/>
  <c r="H54" i="10" s="1"/>
  <c r="I53" i="10"/>
  <c r="G53" i="10"/>
  <c r="H53" i="10" s="1"/>
  <c r="I52" i="10"/>
  <c r="H52" i="10"/>
  <c r="G52" i="10"/>
  <c r="I51" i="10"/>
  <c r="G51" i="10"/>
  <c r="H51" i="10" s="1"/>
  <c r="I50" i="10"/>
  <c r="G50" i="10"/>
  <c r="H50" i="10" s="1"/>
  <c r="I49" i="10"/>
  <c r="G49" i="10"/>
  <c r="H49" i="10" s="1"/>
  <c r="I48" i="10"/>
  <c r="G48" i="10"/>
  <c r="H48" i="10" s="1"/>
  <c r="I47" i="10"/>
  <c r="G47" i="10"/>
  <c r="H47" i="10" s="1"/>
  <c r="I46" i="10"/>
  <c r="G46" i="10"/>
  <c r="H46" i="10" s="1"/>
  <c r="I45" i="10"/>
  <c r="G45" i="10"/>
  <c r="H45" i="10" s="1"/>
  <c r="I44" i="10"/>
  <c r="G44" i="10"/>
  <c r="H44" i="10" s="1"/>
  <c r="I43" i="10"/>
  <c r="H43" i="10"/>
  <c r="G43" i="10"/>
  <c r="I42" i="10"/>
  <c r="G42" i="10"/>
  <c r="H42" i="10" s="1"/>
  <c r="I41" i="10"/>
  <c r="G41" i="10"/>
  <c r="H41" i="10" s="1"/>
  <c r="I40" i="10"/>
  <c r="G40" i="10"/>
  <c r="H40" i="10" s="1"/>
  <c r="I39" i="10"/>
  <c r="G39" i="10"/>
  <c r="H39" i="10" s="1"/>
  <c r="I38" i="10"/>
  <c r="G38" i="10"/>
  <c r="H38" i="10" s="1"/>
  <c r="I37" i="10"/>
  <c r="G37" i="10"/>
  <c r="H37" i="10" s="1"/>
  <c r="I36" i="10"/>
  <c r="G36" i="10"/>
  <c r="H36" i="10" s="1"/>
  <c r="I35" i="10"/>
  <c r="G35" i="10"/>
  <c r="H35" i="10" s="1"/>
  <c r="I34" i="10"/>
  <c r="G34" i="10"/>
  <c r="H34" i="10" s="1"/>
  <c r="I33" i="10"/>
  <c r="G33" i="10"/>
  <c r="H33" i="10" s="1"/>
  <c r="I32" i="10"/>
  <c r="G32" i="10"/>
  <c r="H32" i="10" s="1"/>
  <c r="I31" i="10"/>
  <c r="G31" i="10"/>
  <c r="H31" i="10" s="1"/>
  <c r="I30" i="10"/>
  <c r="G30" i="10"/>
  <c r="H30" i="10" s="1"/>
  <c r="I29" i="10"/>
  <c r="G29" i="10"/>
  <c r="H29" i="10" s="1"/>
  <c r="I28" i="10"/>
  <c r="H28" i="10"/>
  <c r="G28" i="10"/>
  <c r="I27" i="10"/>
  <c r="G27" i="10"/>
  <c r="H27" i="10" s="1"/>
  <c r="I26" i="10"/>
  <c r="G26" i="10"/>
  <c r="H26" i="10" s="1"/>
  <c r="I25" i="10"/>
  <c r="G25" i="10"/>
  <c r="H25" i="10" s="1"/>
  <c r="I24" i="10"/>
  <c r="G24" i="10"/>
  <c r="H24" i="10" s="1"/>
  <c r="I23" i="10"/>
  <c r="G23" i="10"/>
  <c r="H23" i="10" s="1"/>
  <c r="I22" i="10"/>
  <c r="G22" i="10"/>
  <c r="H22" i="10" s="1"/>
  <c r="I21" i="10"/>
  <c r="G21" i="10"/>
  <c r="H21" i="10" s="1"/>
  <c r="I20" i="10"/>
  <c r="G20" i="10"/>
  <c r="H20" i="10" s="1"/>
  <c r="I19" i="10"/>
  <c r="H19" i="10"/>
  <c r="G19" i="10"/>
  <c r="I18" i="10"/>
  <c r="G18" i="10"/>
  <c r="H18" i="10" s="1"/>
  <c r="I17" i="10"/>
  <c r="G17" i="10"/>
  <c r="H17" i="10" s="1"/>
  <c r="I16" i="10"/>
  <c r="G16" i="10"/>
  <c r="H16" i="10" s="1"/>
  <c r="I15" i="10"/>
  <c r="H15" i="10"/>
  <c r="G15" i="10"/>
  <c r="I14" i="10"/>
  <c r="G14" i="10"/>
  <c r="H14" i="10" s="1"/>
  <c r="I13" i="10"/>
  <c r="G13" i="10"/>
  <c r="H13" i="10" s="1"/>
  <c r="I12" i="10"/>
  <c r="G12" i="10"/>
  <c r="H12" i="10" s="1"/>
  <c r="I11" i="10"/>
  <c r="G11" i="10"/>
  <c r="H11" i="10" s="1"/>
  <c r="I10" i="10"/>
  <c r="G10" i="10"/>
  <c r="H10" i="10" s="1"/>
  <c r="I9" i="10"/>
  <c r="G9" i="10"/>
  <c r="H9" i="10" s="1"/>
  <c r="I8" i="10"/>
  <c r="G8" i="10"/>
  <c r="H8" i="10" s="1"/>
  <c r="I7" i="10"/>
  <c r="G7" i="10"/>
  <c r="H7" i="10" s="1"/>
  <c r="I6" i="10"/>
  <c r="G6" i="10"/>
  <c r="H6" i="10" s="1"/>
  <c r="I5" i="10"/>
  <c r="G5" i="10"/>
  <c r="H5" i="10" s="1"/>
  <c r="I4" i="10"/>
  <c r="G4" i="10"/>
  <c r="H4" i="10" s="1"/>
  <c r="I3" i="10"/>
  <c r="G3" i="10"/>
  <c r="H3" i="10" s="1"/>
  <c r="I2" i="10"/>
  <c r="G2" i="10"/>
  <c r="H2" i="10" s="1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05" i="5"/>
  <c r="F2" i="6"/>
  <c r="P2" i="6"/>
  <c r="L18" i="5"/>
  <c r="L7" i="5"/>
  <c r="L13" i="5"/>
  <c r="L20" i="5"/>
  <c r="L31" i="5"/>
  <c r="L14" i="5"/>
  <c r="L19" i="5"/>
  <c r="L10" i="5"/>
  <c r="L6" i="5"/>
  <c r="L2" i="5"/>
  <c r="L27" i="5"/>
  <c r="M9" i="5"/>
  <c r="L9" i="5"/>
  <c r="L17" i="5"/>
  <c r="L16" i="5"/>
  <c r="M15" i="5"/>
  <c r="M26" i="5"/>
  <c r="F12" i="6" l="1"/>
  <c r="Q25" i="7" l="1"/>
  <c r="Q24" i="7"/>
  <c r="Q23" i="7"/>
  <c r="Q22" i="7"/>
  <c r="Q21" i="7"/>
  <c r="Q20" i="7"/>
  <c r="Q19" i="7"/>
  <c r="Q18" i="7"/>
  <c r="Q17" i="7"/>
  <c r="Q16" i="7"/>
  <c r="Q15" i="7"/>
  <c r="Q14" i="7"/>
  <c r="Q13" i="7"/>
  <c r="Q12" i="7"/>
  <c r="Q11" i="7"/>
  <c r="Q10" i="7"/>
  <c r="Q9" i="7"/>
  <c r="Q8" i="7"/>
  <c r="Q7" i="7"/>
  <c r="Q6" i="7"/>
  <c r="Q5" i="7"/>
  <c r="M8" i="8" l="1"/>
  <c r="M7" i="8"/>
  <c r="M6" i="8"/>
  <c r="M5" i="8"/>
  <c r="M4" i="8"/>
  <c r="M3" i="8"/>
  <c r="N8" i="8"/>
  <c r="N7" i="8"/>
  <c r="N6" i="8"/>
  <c r="N5" i="8"/>
  <c r="N4" i="8"/>
  <c r="N3" i="8"/>
  <c r="N2" i="8"/>
  <c r="F19" i="8"/>
  <c r="F21" i="8"/>
  <c r="F18" i="8"/>
  <c r="F23" i="8"/>
  <c r="U7" i="8"/>
  <c r="V5" i="8" s="1"/>
  <c r="W5" i="8" s="1"/>
  <c r="D18" i="8"/>
  <c r="D19" i="8"/>
  <c r="D20" i="8"/>
  <c r="D21" i="8"/>
  <c r="D23" i="8"/>
  <c r="D24" i="8"/>
  <c r="D25" i="8"/>
  <c r="F2" i="8"/>
  <c r="F3" i="8"/>
  <c r="F10" i="8"/>
  <c r="F11" i="8"/>
  <c r="V4" i="8" l="1"/>
  <c r="W4" i="8" s="1"/>
  <c r="V3" i="8"/>
  <c r="V7" i="8"/>
  <c r="V6" i="8"/>
  <c r="W6" i="8" s="1"/>
  <c r="V2" i="8"/>
  <c r="Q3" i="8"/>
  <c r="Q4" i="8" s="1"/>
  <c r="Q5" i="8" s="1"/>
  <c r="P2" i="8"/>
  <c r="P4" i="8" s="1"/>
  <c r="P6" i="8" s="1"/>
  <c r="D16" i="8"/>
  <c r="D13" i="8"/>
  <c r="D15" i="8"/>
  <c r="D10" i="8"/>
  <c r="D12" i="8"/>
  <c r="D11" i="8"/>
  <c r="D14" i="8"/>
  <c r="D17" i="8"/>
  <c r="D9" i="8"/>
  <c r="D6" i="8"/>
  <c r="D7" i="8"/>
  <c r="D8" i="8"/>
  <c r="C2" i="8"/>
  <c r="C4" i="8"/>
  <c r="C5" i="8"/>
  <c r="C3" i="8"/>
  <c r="C3" i="6"/>
  <c r="C4" i="6" s="1"/>
  <c r="C5" i="6" s="1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V10" i="6" l="1"/>
  <c r="P8" i="6"/>
  <c r="B3" i="6" l="1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Y11" i="6"/>
</calcChain>
</file>

<file path=xl/sharedStrings.xml><?xml version="1.0" encoding="utf-8"?>
<sst xmlns="http://schemas.openxmlformats.org/spreadsheetml/2006/main" count="3213" uniqueCount="657">
  <si>
    <t>Club</t>
  </si>
  <si>
    <t>Juega</t>
  </si>
  <si>
    <t>Codigo</t>
  </si>
  <si>
    <t>Apellidos</t>
  </si>
  <si>
    <t>Nombre</t>
  </si>
  <si>
    <t>Index</t>
  </si>
  <si>
    <t>Salida</t>
  </si>
  <si>
    <t>Hand.</t>
  </si>
  <si>
    <t>Puntos</t>
  </si>
  <si>
    <t>Tennis Golf Club</t>
  </si>
  <si>
    <t>Abrajim Rodriguez</t>
  </si>
  <si>
    <t>David Aziz</t>
  </si>
  <si>
    <t>Sarah</t>
  </si>
  <si>
    <t>Albornoz Garrido</t>
  </si>
  <si>
    <t>Jack</t>
  </si>
  <si>
    <t>Alvarado Mora</t>
  </si>
  <si>
    <t>Hugo Oswaldo</t>
  </si>
  <si>
    <t>Players</t>
  </si>
  <si>
    <t>Leal Gelvez</t>
  </si>
  <si>
    <t>Edgar</t>
  </si>
  <si>
    <t>Alvarez Davila</t>
  </si>
  <si>
    <t>Ronal Rene</t>
  </si>
  <si>
    <t>Angarita Lamk</t>
  </si>
  <si>
    <t>Rafael Navi</t>
  </si>
  <si>
    <t>Angarita Soto</t>
  </si>
  <si>
    <t>Rafael</t>
  </si>
  <si>
    <t>Alvarez Nuñez</t>
  </si>
  <si>
    <t>Gustavo Adolfo</t>
  </si>
  <si>
    <t>Angarita Suarez</t>
  </si>
  <si>
    <t>Luis Fernando</t>
  </si>
  <si>
    <t>Ararat Mafla</t>
  </si>
  <si>
    <t>David</t>
  </si>
  <si>
    <t>Abraham</t>
  </si>
  <si>
    <t>Arciniegas Caselles</t>
  </si>
  <si>
    <t>Erik Alberto</t>
  </si>
  <si>
    <t>Arciniegas Cifuentes</t>
  </si>
  <si>
    <t>Erik Julliuss</t>
  </si>
  <si>
    <t>Ardila Lopez</t>
  </si>
  <si>
    <t>Daniel Felipe</t>
  </si>
  <si>
    <t>Parra Gomez</t>
  </si>
  <si>
    <t>Luis Eduardo</t>
  </si>
  <si>
    <t>Ardila Reyes</t>
  </si>
  <si>
    <t>Delmer</t>
  </si>
  <si>
    <t>Bacca Jimenez</t>
  </si>
  <si>
    <t>Diego Alejandro</t>
  </si>
  <si>
    <t>Bahar Levi</t>
  </si>
  <si>
    <t>Israel</t>
  </si>
  <si>
    <t>Zerpa Albarran</t>
  </si>
  <si>
    <t>Edgardo Jose</t>
  </si>
  <si>
    <t>Barbosa Pardo</t>
  </si>
  <si>
    <t>Roque</t>
  </si>
  <si>
    <t>Damas</t>
  </si>
  <si>
    <t>Ballesteros Castellanos</t>
  </si>
  <si>
    <t>Kelly Johanna</t>
  </si>
  <si>
    <t>Benedetti Serrano</t>
  </si>
  <si>
    <t>Miguel A</t>
  </si>
  <si>
    <t>Betancourt Barbosa</t>
  </si>
  <si>
    <t>Armando</t>
  </si>
  <si>
    <t>Perez Guarnizo</t>
  </si>
  <si>
    <t>Guillermo</t>
  </si>
  <si>
    <t>Botero Calderon</t>
  </si>
  <si>
    <t>Santiago</t>
  </si>
  <si>
    <t>Brahim Sus</t>
  </si>
  <si>
    <t>Carlos Arturo</t>
  </si>
  <si>
    <t>Bustamante Ballesteros</t>
  </si>
  <si>
    <t>Gilberto</t>
  </si>
  <si>
    <t>Botello Garavito</t>
  </si>
  <si>
    <t>Samuel</t>
  </si>
  <si>
    <t>Carrascal Buenaver</t>
  </si>
  <si>
    <t>Sebastian</t>
  </si>
  <si>
    <t>Carrillo Ballesteros</t>
  </si>
  <si>
    <t>Victor Manuel</t>
  </si>
  <si>
    <t>Carrillo Sepulveda</t>
  </si>
  <si>
    <t>Carvajal Franklin</t>
  </si>
  <si>
    <t>Carlos A.</t>
  </si>
  <si>
    <t>Gustavo E.</t>
  </si>
  <si>
    <t>Carvajal Sanchez</t>
  </si>
  <si>
    <t>Carlos Enrique</t>
  </si>
  <si>
    <t>Castaño Suescuen</t>
  </si>
  <si>
    <t>Emiliano</t>
  </si>
  <si>
    <t>Castiblanco Gomez</t>
  </si>
  <si>
    <t>Ivan Enrique</t>
  </si>
  <si>
    <t>Caceres Rueda</t>
  </si>
  <si>
    <t>Nicolas</t>
  </si>
  <si>
    <t>Celis Vergel</t>
  </si>
  <si>
    <t>Juan Pablo</t>
  </si>
  <si>
    <t>Cely Sanchez</t>
  </si>
  <si>
    <t>Juan Libardo</t>
  </si>
  <si>
    <t>Carlos Augusto</t>
  </si>
  <si>
    <t>Chacon Banderas</t>
  </si>
  <si>
    <t>Jose Maria</t>
  </si>
  <si>
    <t>Chacón Chavarro</t>
  </si>
  <si>
    <t>Carlos Manuel</t>
  </si>
  <si>
    <t>Chacon Garnica</t>
  </si>
  <si>
    <t>Marlon</t>
  </si>
  <si>
    <t>Chacon Montañez</t>
  </si>
  <si>
    <t>Chacón Mutis</t>
  </si>
  <si>
    <t>Alejandro</t>
  </si>
  <si>
    <t>Charry Alcala</t>
  </si>
  <si>
    <t>German</t>
  </si>
  <si>
    <t>Colmenares Ossa</t>
  </si>
  <si>
    <t>Raul Antonio</t>
  </si>
  <si>
    <t>Jose E.</t>
  </si>
  <si>
    <t>Colmenares Rojas</t>
  </si>
  <si>
    <t>Carlos Eduardo</t>
  </si>
  <si>
    <t>Consuegra Morales</t>
  </si>
  <si>
    <t>Juan Carlos</t>
  </si>
  <si>
    <t>Cely Soler</t>
  </si>
  <si>
    <t>Libardo Del Carmen</t>
  </si>
  <si>
    <t>Cristo Bustos</t>
  </si>
  <si>
    <t>de Florez</t>
  </si>
  <si>
    <t>Tatiana</t>
  </si>
  <si>
    <t>Del Corte Contreras</t>
  </si>
  <si>
    <t>Javier Fernando</t>
  </si>
  <si>
    <t>Del Corte Fajardo</t>
  </si>
  <si>
    <t>Fernando</t>
  </si>
  <si>
    <t>Diaz Alvarez</t>
  </si>
  <si>
    <t>Jairo Andres</t>
  </si>
  <si>
    <t>Contreras Gamboa</t>
  </si>
  <si>
    <t>Jorge</t>
  </si>
  <si>
    <t>Morelli Perez</t>
  </si>
  <si>
    <t>Alvaro Enrique</t>
  </si>
  <si>
    <t>Diaz Pacheco</t>
  </si>
  <si>
    <t>Danna Nicole</t>
  </si>
  <si>
    <t>Duran Mora</t>
  </si>
  <si>
    <t>Cruz Helena</t>
  </si>
  <si>
    <t>Escalante Luzardo</t>
  </si>
  <si>
    <t>Luis Emilio</t>
  </si>
  <si>
    <t>Espinel</t>
  </si>
  <si>
    <t>Daniel</t>
  </si>
  <si>
    <t>Fandiño Hidalgo</t>
  </si>
  <si>
    <t>Rafael Enrique</t>
  </si>
  <si>
    <t>Florez Echeverria</t>
  </si>
  <si>
    <t>Gabriel</t>
  </si>
  <si>
    <t>Florez Faillece</t>
  </si>
  <si>
    <t>Alvaro Andres</t>
  </si>
  <si>
    <t>Diaz Diaz</t>
  </si>
  <si>
    <t>Rafael Antonio</t>
  </si>
  <si>
    <t>Florez Romero</t>
  </si>
  <si>
    <t>Valeria</t>
  </si>
  <si>
    <t>Florez Rodriguez</t>
  </si>
  <si>
    <t>Franco Rueda</t>
  </si>
  <si>
    <t>Cesar Augusto</t>
  </si>
  <si>
    <t>Fuentes Bermonth</t>
  </si>
  <si>
    <t>Camilo Alejandro</t>
  </si>
  <si>
    <t>Fuentes Lievano</t>
  </si>
  <si>
    <t>Carlos Alberto</t>
  </si>
  <si>
    <t>Fuentes Marquez</t>
  </si>
  <si>
    <t>Gonzalo</t>
  </si>
  <si>
    <t>Florez Serrano</t>
  </si>
  <si>
    <t>Elkin Gregorio</t>
  </si>
  <si>
    <t>Galavis Correa</t>
  </si>
  <si>
    <t>Sergio Andres</t>
  </si>
  <si>
    <t>Bautista Ramirez</t>
  </si>
  <si>
    <t>Jairo Jose</t>
  </si>
  <si>
    <t>Giatsidakis Haddad</t>
  </si>
  <si>
    <t>Juan Sebastian</t>
  </si>
  <si>
    <t>Mantilla Duran</t>
  </si>
  <si>
    <t>Miguel Fabian</t>
  </si>
  <si>
    <t>Gil Gil</t>
  </si>
  <si>
    <t>Giraldo Guerra</t>
  </si>
  <si>
    <t>Juan Camilo</t>
  </si>
  <si>
    <t>Gomez Botelllo</t>
  </si>
  <si>
    <t>Marco Tulio</t>
  </si>
  <si>
    <t>Gomez Franco</t>
  </si>
  <si>
    <t>Ramiro Hernando</t>
  </si>
  <si>
    <t>Lara Mora</t>
  </si>
  <si>
    <t>Alexander</t>
  </si>
  <si>
    <t>Gonzales Soto</t>
  </si>
  <si>
    <t>Gonzalez Pabon</t>
  </si>
  <si>
    <t>Jaime Enrique</t>
  </si>
  <si>
    <t>Gonzalez Parada</t>
  </si>
  <si>
    <t>Ivan</t>
  </si>
  <si>
    <t>Gutierrez Barrera</t>
  </si>
  <si>
    <t>Juan Diego</t>
  </si>
  <si>
    <t>Gutierrez Beltran</t>
  </si>
  <si>
    <t>Wilson</t>
  </si>
  <si>
    <t>Hernandez</t>
  </si>
  <si>
    <t>Javier</t>
  </si>
  <si>
    <t>Hernandez Hernandez</t>
  </si>
  <si>
    <t>German Andres</t>
  </si>
  <si>
    <t>Gonzales Quintero</t>
  </si>
  <si>
    <t>Jesus Maria</t>
  </si>
  <si>
    <t>Jaimes Quintero</t>
  </si>
  <si>
    <t>Alvaro Tomas</t>
  </si>
  <si>
    <t>Jaramillo Ramirez</t>
  </si>
  <si>
    <t>Hernandez Izquierdo</t>
  </si>
  <si>
    <t>Bibiana Karina</t>
  </si>
  <si>
    <t>Landazabal Molina</t>
  </si>
  <si>
    <t>Sergio Alfonso</t>
  </si>
  <si>
    <t>Ardila Meneses</t>
  </si>
  <si>
    <t>Giatsidakis Olivares</t>
  </si>
  <si>
    <t>Luzardo Castro</t>
  </si>
  <si>
    <t>Rangel Vera</t>
  </si>
  <si>
    <t>Jaime</t>
  </si>
  <si>
    <t>Llanes Gomez</t>
  </si>
  <si>
    <t>Juan pablo</t>
  </si>
  <si>
    <t>Mariño Larrea</t>
  </si>
  <si>
    <t>Ana Maria</t>
  </si>
  <si>
    <t>Mariño Perez</t>
  </si>
  <si>
    <t>Jose Luis</t>
  </si>
  <si>
    <t>Marquina Ramirez</t>
  </si>
  <si>
    <t>Daniel Leonardo</t>
  </si>
  <si>
    <t>Martinez Cubillos</t>
  </si>
  <si>
    <t>Andres Felipe</t>
  </si>
  <si>
    <t>Mayorga</t>
  </si>
  <si>
    <t>Mejia Esparza</t>
  </si>
  <si>
    <t>Gustavo</t>
  </si>
  <si>
    <t>Mejia Valderrama</t>
  </si>
  <si>
    <t>Gustavo Adid</t>
  </si>
  <si>
    <t xml:space="preserve">Molina </t>
  </si>
  <si>
    <t>Andres</t>
  </si>
  <si>
    <t>Montañez Mogollon</t>
  </si>
  <si>
    <t>Tomas</t>
  </si>
  <si>
    <t>Mora</t>
  </si>
  <si>
    <t>Carlos</t>
  </si>
  <si>
    <t>Morelli Navia</t>
  </si>
  <si>
    <t>Luis Miguel</t>
  </si>
  <si>
    <t>Garcia Herreros Duplat</t>
  </si>
  <si>
    <t>Miguel</t>
  </si>
  <si>
    <t>Ortega Meneses</t>
  </si>
  <si>
    <t>Roberto</t>
  </si>
  <si>
    <t>Moreno Vera</t>
  </si>
  <si>
    <t>Luis Alberto</t>
  </si>
  <si>
    <t>Moros Bayona</t>
  </si>
  <si>
    <t>Mancera Basto</t>
  </si>
  <si>
    <t>Edulfo Antonio</t>
  </si>
  <si>
    <t>Moros Ramirez</t>
  </si>
  <si>
    <t>Hugo Dario</t>
  </si>
  <si>
    <t>Mutis Arteaga</t>
  </si>
  <si>
    <t>Emilia</t>
  </si>
  <si>
    <t>Moros Quintero</t>
  </si>
  <si>
    <t>Alberto</t>
  </si>
  <si>
    <t>Edgar Fernando</t>
  </si>
  <si>
    <t>Ortega Peñuela</t>
  </si>
  <si>
    <t>Schloeter Rebolledo</t>
  </si>
  <si>
    <t>Johann Karl</t>
  </si>
  <si>
    <t>Ortiz Salamanca</t>
  </si>
  <si>
    <t>Jose Guillermo</t>
  </si>
  <si>
    <t>Ospina Gelvis</t>
  </si>
  <si>
    <t>Ortiz Manrique</t>
  </si>
  <si>
    <t>Peña Torrado</t>
  </si>
  <si>
    <t>Thomas</t>
  </si>
  <si>
    <t>Peñaloza Quintero</t>
  </si>
  <si>
    <t xml:space="preserve">Rolando Enrique </t>
  </si>
  <si>
    <t>Peñaranda Canal</t>
  </si>
  <si>
    <t>Miguel Enrique</t>
  </si>
  <si>
    <t>Peñaranda Doncel</t>
  </si>
  <si>
    <t>Ivan Guillermo</t>
  </si>
  <si>
    <t>Peñaranda Gomez</t>
  </si>
  <si>
    <t>Jairo</t>
  </si>
  <si>
    <t>Perez Chacon</t>
  </si>
  <si>
    <t>Claudia Cecilia</t>
  </si>
  <si>
    <t>Perez Ferrer</t>
  </si>
  <si>
    <t>Carlos Andres</t>
  </si>
  <si>
    <t>Rangel Becerra</t>
  </si>
  <si>
    <t>Pino Granados</t>
  </si>
  <si>
    <t>Raul Andres</t>
  </si>
  <si>
    <t>Diaz Contreras</t>
  </si>
  <si>
    <t>Posada Peñaranda</t>
  </si>
  <si>
    <t>Nelson Augusto</t>
  </si>
  <si>
    <t>Posada Velasco</t>
  </si>
  <si>
    <t>Manuela</t>
  </si>
  <si>
    <t>Porras Liendo</t>
  </si>
  <si>
    <t>Eliana Marcela</t>
  </si>
  <si>
    <t>Ramirez Ballesteros</t>
  </si>
  <si>
    <t>Ricardo</t>
  </si>
  <si>
    <t>Ramirez Ortega</t>
  </si>
  <si>
    <t>Luis Antonio</t>
  </si>
  <si>
    <t>Ramirez Saad</t>
  </si>
  <si>
    <t>Pulecio Franco</t>
  </si>
  <si>
    <t>Jairo Hernando</t>
  </si>
  <si>
    <t>Silva Perez</t>
  </si>
  <si>
    <t>Jose Gustavo</t>
  </si>
  <si>
    <t>Arambula Padilla</t>
  </si>
  <si>
    <t>Alvaro</t>
  </si>
  <si>
    <t>Rico Rueda</t>
  </si>
  <si>
    <t>Carlos Hernando</t>
  </si>
  <si>
    <t>Rios Saffi</t>
  </si>
  <si>
    <t>Hugo Alberto</t>
  </si>
  <si>
    <t>Rivera</t>
  </si>
  <si>
    <t>Rivera Gomez</t>
  </si>
  <si>
    <t>Juan Ricardo</t>
  </si>
  <si>
    <t>Rivera Parada</t>
  </si>
  <si>
    <t>Tulio Enrique</t>
  </si>
  <si>
    <t>Rincon Ramirez</t>
  </si>
  <si>
    <t>Jose Oswaldo</t>
  </si>
  <si>
    <t>Rivera Rozo</t>
  </si>
  <si>
    <t>Rodolfo Antonio</t>
  </si>
  <si>
    <t>Robayo Piedrahita</t>
  </si>
  <si>
    <t>Josue Leonardo</t>
  </si>
  <si>
    <t>Rodriguez Guerrero</t>
  </si>
  <si>
    <t>Jorge Ivan</t>
  </si>
  <si>
    <t>Rodriguez Mantilla</t>
  </si>
  <si>
    <t>Eduardo</t>
  </si>
  <si>
    <t>Rodriguez Pinzon</t>
  </si>
  <si>
    <t>Nelson W</t>
  </si>
  <si>
    <t>Rodriguez Ramirez</t>
  </si>
  <si>
    <t>Gabriel A</t>
  </si>
  <si>
    <t>Rodriguez Rodriguez</t>
  </si>
  <si>
    <t>Tyrone Daniel</t>
  </si>
  <si>
    <t>Rodriguez Santander</t>
  </si>
  <si>
    <t>Robledo Assaf</t>
  </si>
  <si>
    <t>Cesar Eduardo</t>
  </si>
  <si>
    <t>Rojas Serrano</t>
  </si>
  <si>
    <t>Jorge Miguel R</t>
  </si>
  <si>
    <t>Rosal Portilla</t>
  </si>
  <si>
    <t>Andres Fernando</t>
  </si>
  <si>
    <t>Rojas Urbina</t>
  </si>
  <si>
    <t>Hernando Jose</t>
  </si>
  <si>
    <t>Ortega Madariaga</t>
  </si>
  <si>
    <t>Rueda Gomez</t>
  </si>
  <si>
    <t>Aida Janeth</t>
  </si>
  <si>
    <t>Salgar Villamizar</t>
  </si>
  <si>
    <t>Alfonso</t>
  </si>
  <si>
    <t>Salguero Marti</t>
  </si>
  <si>
    <t>Antonio Tomas</t>
  </si>
  <si>
    <t>Sanchez Duran</t>
  </si>
  <si>
    <t>Laura Juliana</t>
  </si>
  <si>
    <t>Rugeles Parra</t>
  </si>
  <si>
    <t>Henry</t>
  </si>
  <si>
    <t>Sandoval Cervantes</t>
  </si>
  <si>
    <t>Jose Santiago</t>
  </si>
  <si>
    <t>Sandoval Pinzon</t>
  </si>
  <si>
    <t>Santaella Perez</t>
  </si>
  <si>
    <t>Hector de Jesus</t>
  </si>
  <si>
    <t>Sanchez Reyes</t>
  </si>
  <si>
    <t>Gladys Edelmira</t>
  </si>
  <si>
    <t>Santos Padilla</t>
  </si>
  <si>
    <t>Silva Bermudez</t>
  </si>
  <si>
    <t>Cayetano Jesus</t>
  </si>
  <si>
    <t>German Francisco</t>
  </si>
  <si>
    <t>Silva Gamboa</t>
  </si>
  <si>
    <t>Goyeneche Montoya</t>
  </si>
  <si>
    <t>Carlos Fernando</t>
  </si>
  <si>
    <t>Silva Serrano</t>
  </si>
  <si>
    <t>German Tomas</t>
  </si>
  <si>
    <t>Suarez Barrera</t>
  </si>
  <si>
    <t>Alberto Camilo</t>
  </si>
  <si>
    <t>Rubiano Perez</t>
  </si>
  <si>
    <t>Laura Nadmiye</t>
  </si>
  <si>
    <t>Suarez Castrillón</t>
  </si>
  <si>
    <t>Fabio Orlando</t>
  </si>
  <si>
    <t>Torres Caceres</t>
  </si>
  <si>
    <t>Isabella</t>
  </si>
  <si>
    <t>Torres Cerquera</t>
  </si>
  <si>
    <t>Fredy</t>
  </si>
  <si>
    <t>Valderrama Ramirez</t>
  </si>
  <si>
    <t>Carlos Jose</t>
  </si>
  <si>
    <t>Vanegas Estrada</t>
  </si>
  <si>
    <t>Lucia</t>
  </si>
  <si>
    <t>Alvarado Rodriguez</t>
  </si>
  <si>
    <t>Lina Maria</t>
  </si>
  <si>
    <t>Vargas Caceres</t>
  </si>
  <si>
    <t>Elias Jesus</t>
  </si>
  <si>
    <t>Vargas Gonzalez</t>
  </si>
  <si>
    <t>Robiel Amed</t>
  </si>
  <si>
    <t>Velandia Herrera</t>
  </si>
  <si>
    <t>Andelfo</t>
  </si>
  <si>
    <t>Villamizar Mendoza</t>
  </si>
  <si>
    <t>Sergio</t>
  </si>
  <si>
    <t>Villamizar Perez</t>
  </si>
  <si>
    <t>Orlando Enrique</t>
  </si>
  <si>
    <t>Vargas Cuberos</t>
  </si>
  <si>
    <t>Yañez Arellano</t>
  </si>
  <si>
    <t>Oscar</t>
  </si>
  <si>
    <t>Yañez Ariza</t>
  </si>
  <si>
    <t>Diego</t>
  </si>
  <si>
    <t>Yañez Rincon</t>
  </si>
  <si>
    <t>Zulma Janeth</t>
  </si>
  <si>
    <t>Garnica Jaimes</t>
  </si>
  <si>
    <t>Marianne</t>
  </si>
  <si>
    <t>Rojas</t>
  </si>
  <si>
    <t>Dif</t>
  </si>
  <si>
    <t>H</t>
  </si>
  <si>
    <t>Equipo 1</t>
  </si>
  <si>
    <t>Equipo 2</t>
  </si>
  <si>
    <t>Azul</t>
  </si>
  <si>
    <t>Blanca</t>
  </si>
  <si>
    <t>Equipo 3</t>
  </si>
  <si>
    <t>Fecha</t>
  </si>
  <si>
    <t>Observaciones</t>
  </si>
  <si>
    <t>Gross</t>
  </si>
  <si>
    <t>Neto</t>
  </si>
  <si>
    <t>Tee Time</t>
  </si>
  <si>
    <t>Premio</t>
  </si>
  <si>
    <t>CONCEPTO</t>
  </si>
  <si>
    <t>Recaudo</t>
  </si>
  <si>
    <t>Colproyectos</t>
  </si>
  <si>
    <t>Hospiclinic</t>
  </si>
  <si>
    <t>Bolsa</t>
  </si>
  <si>
    <t>Feb - Jun</t>
  </si>
  <si>
    <t>Jul - Nov</t>
  </si>
  <si>
    <t>President</t>
  </si>
  <si>
    <t>Foursome</t>
  </si>
  <si>
    <t>1. Neto</t>
  </si>
  <si>
    <t>2. Neto</t>
  </si>
  <si>
    <t>3. Neto</t>
  </si>
  <si>
    <t>4. Neto</t>
  </si>
  <si>
    <t>5. Neto</t>
  </si>
  <si>
    <t>6. Neto</t>
  </si>
  <si>
    <t>7. Neto</t>
  </si>
  <si>
    <t>8. Neto</t>
  </si>
  <si>
    <t>(Varios elementos)</t>
  </si>
  <si>
    <t xml:space="preserve"> </t>
  </si>
  <si>
    <t>(Todas)</t>
  </si>
  <si>
    <t>CAJA MENOR</t>
  </si>
  <si>
    <t>RESULTADOS DEL SÁBADO</t>
  </si>
  <si>
    <t>PLAYERS CHAMPIONSHIP - PUNTOS ACUMULADOS</t>
  </si>
  <si>
    <t>Suma de Recaudo</t>
  </si>
  <si>
    <t>Suma de Puntos</t>
  </si>
  <si>
    <t>TEE TIME SACADOS</t>
  </si>
  <si>
    <t>Tee Time_</t>
  </si>
  <si>
    <t>Pagado</t>
  </si>
  <si>
    <t>Total general</t>
  </si>
  <si>
    <t>PREMIOS EN DINERO</t>
  </si>
  <si>
    <t>Suma de Premio</t>
  </si>
  <si>
    <t>PREMIOS EN ESPECIE</t>
  </si>
  <si>
    <t>Torneo</t>
  </si>
  <si>
    <t>Asistencia</t>
  </si>
  <si>
    <t>JUGADOR</t>
  </si>
  <si>
    <t>GROSS</t>
  </si>
  <si>
    <t>NETO</t>
  </si>
  <si>
    <t>CAMPO</t>
  </si>
  <si>
    <t>PREMIO</t>
  </si>
  <si>
    <t>POLLA</t>
  </si>
  <si>
    <t>Etiquetas de fila</t>
  </si>
  <si>
    <t>PREMIOS</t>
  </si>
  <si>
    <t>Suma de GROSS</t>
  </si>
  <si>
    <t>NETOS</t>
  </si>
  <si>
    <t>DIF</t>
  </si>
  <si>
    <t>PROM</t>
  </si>
  <si>
    <t>HOY</t>
  </si>
  <si>
    <t>BOLSA</t>
  </si>
  <si>
    <t>PLAYER</t>
  </si>
  <si>
    <t>ASEO</t>
  </si>
  <si>
    <t>ELKIN FLOREZ</t>
  </si>
  <si>
    <t>PANTHER RUN</t>
  </si>
  <si>
    <t>R</t>
  </si>
  <si>
    <t>A</t>
  </si>
  <si>
    <t>CARLOS VILLAMIZAR</t>
  </si>
  <si>
    <t>CARLOS CELIS</t>
  </si>
  <si>
    <t>RODOLFO RIVERA</t>
  </si>
  <si>
    <t>D</t>
  </si>
  <si>
    <t>JUAN MORELLI</t>
  </si>
  <si>
    <t>SERGIO LANDAZABAL</t>
  </si>
  <si>
    <t>ALVARO MORELLI</t>
  </si>
  <si>
    <t>P</t>
  </si>
  <si>
    <t>SEBASTIAN MORELLI</t>
  </si>
  <si>
    <t>JAIRO PULECIO</t>
  </si>
  <si>
    <t>TOTAL</t>
  </si>
  <si>
    <t>JOSUE ROBAYO</t>
  </si>
  <si>
    <t>STONEYBROOK</t>
  </si>
  <si>
    <t>VALENCIA</t>
  </si>
  <si>
    <t>Ptos</t>
  </si>
  <si>
    <t>Copa</t>
  </si>
  <si>
    <t>Part.</t>
  </si>
  <si>
    <t>PALMARES PRIMER PUESTO - TOUR PLAYERS</t>
  </si>
  <si>
    <t>Emilio</t>
  </si>
  <si>
    <t>(en blanco)</t>
  </si>
  <si>
    <t xml:space="preserve">Peñaranda Canal </t>
  </si>
  <si>
    <t xml:space="preserve">Rivera Parada </t>
  </si>
  <si>
    <t>Garcia Herreros</t>
  </si>
  <si>
    <t xml:space="preserve"> DuplatMiguel</t>
  </si>
  <si>
    <t>Yañez Toro</t>
  </si>
  <si>
    <t>Colmenares Rey</t>
  </si>
  <si>
    <t>Julian</t>
  </si>
  <si>
    <t>Paez</t>
  </si>
  <si>
    <t>Monsalve</t>
  </si>
  <si>
    <t>fuentes</t>
  </si>
  <si>
    <t>gonzalo</t>
  </si>
  <si>
    <t xml:space="preserve">Carlos  </t>
  </si>
  <si>
    <t>Asist</t>
  </si>
  <si>
    <t>Posicion</t>
  </si>
  <si>
    <t>Puntaje</t>
  </si>
  <si>
    <t>puntos Jornada</t>
  </si>
  <si>
    <t>PREMIOS DEL SABADO</t>
  </si>
  <si>
    <t>Valor</t>
  </si>
  <si>
    <t>PLAYERS CHAMPIONSHIP - RESULTADOS DEL MES</t>
  </si>
  <si>
    <t>Suma de Asistencia</t>
  </si>
  <si>
    <t>Mayo</t>
  </si>
  <si>
    <t>Indice_Actualizado</t>
  </si>
  <si>
    <t>Marca_Asignada</t>
  </si>
  <si>
    <t>Handicap_Juego</t>
  </si>
  <si>
    <t>Azules - 5924</t>
  </si>
  <si>
    <t>Blancas - 5710</t>
  </si>
  <si>
    <t>FECHA</t>
  </si>
  <si>
    <t>18,6</t>
  </si>
  <si>
    <t>18</t>
  </si>
  <si>
    <t>12,8</t>
  </si>
  <si>
    <t>13</t>
  </si>
  <si>
    <t>17,3</t>
  </si>
  <si>
    <t>19</t>
  </si>
  <si>
    <t>23,1</t>
  </si>
  <si>
    <t>23</t>
  </si>
  <si>
    <t>21865</t>
  </si>
  <si>
    <t>11,5</t>
  </si>
  <si>
    <t>12</t>
  </si>
  <si>
    <t>7891</t>
  </si>
  <si>
    <t>18,8</t>
  </si>
  <si>
    <t>27,3</t>
  </si>
  <si>
    <t>28</t>
  </si>
  <si>
    <t>11,7</t>
  </si>
  <si>
    <t>17,9</t>
  </si>
  <si>
    <t>20</t>
  </si>
  <si>
    <t>9,9</t>
  </si>
  <si>
    <t>10</t>
  </si>
  <si>
    <t>11,9</t>
  </si>
  <si>
    <t>26953</t>
  </si>
  <si>
    <t>8,3</t>
  </si>
  <si>
    <t>8</t>
  </si>
  <si>
    <t>30572</t>
  </si>
  <si>
    <t>19,8</t>
  </si>
  <si>
    <t>10,5</t>
  </si>
  <si>
    <t>11</t>
  </si>
  <si>
    <t>17,6</t>
  </si>
  <si>
    <t>18,3</t>
  </si>
  <si>
    <t>23,9</t>
  </si>
  <si>
    <t>24</t>
  </si>
  <si>
    <t>Equipo 4</t>
  </si>
  <si>
    <t>10,2</t>
  </si>
  <si>
    <t>25</t>
  </si>
  <si>
    <t>Junio</t>
  </si>
  <si>
    <t>24283</t>
  </si>
  <si>
    <t>15107</t>
  </si>
  <si>
    <t>17,8</t>
  </si>
  <si>
    <t>30087</t>
  </si>
  <si>
    <t>11,3</t>
  </si>
  <si>
    <t>19,2</t>
  </si>
  <si>
    <t>16,2</t>
  </si>
  <si>
    <t>18,7</t>
  </si>
  <si>
    <t>15,4</t>
  </si>
  <si>
    <t>9,8</t>
  </si>
  <si>
    <t>14</t>
  </si>
  <si>
    <t>11,4</t>
  </si>
  <si>
    <t>16260</t>
  </si>
  <si>
    <t>17,1</t>
  </si>
  <si>
    <t>18411</t>
  </si>
  <si>
    <t>24,8</t>
  </si>
  <si>
    <t>Monroy Delgado</t>
  </si>
  <si>
    <t>Julio</t>
  </si>
  <si>
    <t>Equipo 5</t>
  </si>
  <si>
    <t>Equipo 6</t>
  </si>
  <si>
    <t>28433</t>
  </si>
  <si>
    <t>23,8</t>
  </si>
  <si>
    <t>16,7</t>
  </si>
  <si>
    <t>18,4</t>
  </si>
  <si>
    <t>19,7</t>
  </si>
  <si>
    <t>14084</t>
  </si>
  <si>
    <t>14,7</t>
  </si>
  <si>
    <t>22156</t>
  </si>
  <si>
    <t>21,5</t>
  </si>
  <si>
    <t>24140</t>
  </si>
  <si>
    <t>26,1</t>
  </si>
  <si>
    <t>11,2</t>
  </si>
  <si>
    <t>25,4</t>
  </si>
  <si>
    <t>32182</t>
  </si>
  <si>
    <t>22,5</t>
  </si>
  <si>
    <t>codigo</t>
  </si>
  <si>
    <t>index</t>
  </si>
  <si>
    <t>marcas</t>
  </si>
  <si>
    <t>hc</t>
  </si>
  <si>
    <t>apellidos</t>
  </si>
  <si>
    <t>nombres</t>
  </si>
  <si>
    <t>Bajos</t>
  </si>
  <si>
    <t>Altos</t>
  </si>
  <si>
    <t>NO CUMPLE</t>
  </si>
  <si>
    <t>CUMPLE</t>
  </si>
  <si>
    <t>19.8</t>
  </si>
  <si>
    <t>Agosto</t>
  </si>
  <si>
    <t>DuplatMiguel</t>
  </si>
  <si>
    <t>Peñaranda Arango</t>
  </si>
  <si>
    <t>cerveza</t>
  </si>
  <si>
    <t>Rojas - 5162</t>
  </si>
  <si>
    <t>Ramirez Vasquez</t>
  </si>
  <si>
    <t>Jorge Eliecer</t>
  </si>
  <si>
    <t>Marca</t>
  </si>
  <si>
    <t>Indice</t>
  </si>
  <si>
    <t>Handicap</t>
  </si>
  <si>
    <t>Asistencias</t>
  </si>
  <si>
    <t>Ahorro</t>
  </si>
  <si>
    <t>Saldo Inscripción</t>
  </si>
  <si>
    <t>Bolsa reunida</t>
  </si>
  <si>
    <t>valor inscripcion</t>
  </si>
  <si>
    <t>total grupo</t>
  </si>
  <si>
    <t>saldo bolsa</t>
  </si>
  <si>
    <t>inscripciones</t>
  </si>
  <si>
    <t>Almuerzos</t>
  </si>
  <si>
    <t>talega golf</t>
  </si>
  <si>
    <t>Ardila Serrano</t>
  </si>
  <si>
    <t>Fausto</t>
  </si>
  <si>
    <t>GASTOS</t>
  </si>
  <si>
    <t>INGRESOS</t>
  </si>
  <si>
    <t>LEONES</t>
  </si>
  <si>
    <t>TOROS</t>
  </si>
  <si>
    <t>PAGO</t>
  </si>
  <si>
    <t>faltan 10000</t>
  </si>
  <si>
    <t>kit bienvenida</t>
  </si>
  <si>
    <t>30377</t>
  </si>
  <si>
    <t>32142</t>
  </si>
  <si>
    <t>33116</t>
  </si>
  <si>
    <t>27280</t>
  </si>
  <si>
    <t>12724</t>
  </si>
  <si>
    <t>13625</t>
  </si>
  <si>
    <t>28225</t>
  </si>
  <si>
    <t>9446</t>
  </si>
  <si>
    <t>30101</t>
  </si>
  <si>
    <t>14824</t>
  </si>
  <si>
    <t>16501</t>
  </si>
  <si>
    <t>18861</t>
  </si>
  <si>
    <t>14715</t>
  </si>
  <si>
    <t>38600</t>
  </si>
  <si>
    <t>25160</t>
  </si>
  <si>
    <t>30376</t>
  </si>
  <si>
    <t>34332</t>
  </si>
  <si>
    <t>37787</t>
  </si>
  <si>
    <t>4080</t>
  </si>
  <si>
    <t>31818</t>
  </si>
  <si>
    <t>27435</t>
  </si>
  <si>
    <t>17043</t>
  </si>
  <si>
    <t>27233</t>
  </si>
  <si>
    <t>17558</t>
  </si>
  <si>
    <t>20408</t>
  </si>
  <si>
    <t>12531</t>
  </si>
  <si>
    <t>22617</t>
  </si>
  <si>
    <t>32313</t>
  </si>
  <si>
    <t>3616</t>
  </si>
  <si>
    <t>27116</t>
  </si>
  <si>
    <t>33424</t>
  </si>
  <si>
    <t>19187</t>
  </si>
  <si>
    <t>3936</t>
  </si>
  <si>
    <t>34428</t>
  </si>
  <si>
    <t>Refrigerio</t>
  </si>
  <si>
    <t>artista invitado</t>
  </si>
  <si>
    <t>aguardiente</t>
  </si>
  <si>
    <t>rifas</t>
  </si>
  <si>
    <t>COPA PRESIDENTS CUP -2026 - VIERNES</t>
  </si>
  <si>
    <t>HOYO</t>
  </si>
  <si>
    <t>PAREJA</t>
  </si>
  <si>
    <t>2A</t>
  </si>
  <si>
    <t>Hernadez</t>
  </si>
  <si>
    <t>2B</t>
  </si>
  <si>
    <t>Monsalve Andres</t>
  </si>
  <si>
    <t>8A</t>
  </si>
  <si>
    <t>8B</t>
  </si>
  <si>
    <t>TEE TIME</t>
  </si>
  <si>
    <t>medalla placas</t>
  </si>
  <si>
    <t>NEGRO</t>
  </si>
  <si>
    <t>BAUTISTA</t>
  </si>
  <si>
    <t>FERNANDO</t>
  </si>
  <si>
    <t>PULECIO</t>
  </si>
  <si>
    <t>MANTILLA</t>
  </si>
  <si>
    <t>LANDAZABAL</t>
  </si>
  <si>
    <t>ANDRES MONSALVE</t>
  </si>
  <si>
    <t>Monsalve Roldan</t>
  </si>
  <si>
    <t>Andres Alberto</t>
  </si>
  <si>
    <t>Andres Albero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</si>
</sst>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-* #,##0.00_-;\-* #,##0.00_-;_-* &quot;-&quot;??_-;_-@_-"/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-* #,##0.0_-;\-* #,##0.0_-;_-* &quot;-&quot;??_-;_-@_-"/>
    <numFmt numFmtId="169" formatCode="_-&quot;$&quot;\ * #,##0_-;\-&quot;$&quot;\ * #,##0_-;_-&quot;$&quot;\ * &quot;-&quot;??_-;_-@_-"/>
    <numFmt numFmtId="170" formatCode="&quot;$&quot;\ #,##0"/>
    <numFmt numFmtId="171" formatCode="_-* #,##0.00_-;\-* #,##0.00_-;_-* &quot;-&quot;_-;_-@_-"/>
    <numFmt numFmtId="172" formatCode="_(* #,##0_);_(* \(#,##0\);_(* &quot;-&quot;??_);_(@_)"/>
    <numFmt numFmtId="173" formatCode="_-* #,##0_-;\-* #,##0_-;_-* &quot;-&quot;??_-;_-@_-"/>
  </numFmts>
  <fonts count="41" x14ac:knownFonts="1">
    <font>
      <sz val="11"/>
      <color indexed="8"/>
      <name val="Calibri"/>
      <family val="2"/>
      <scheme val="minor"/>
    </font>
    <font>
      <b/>
      <sz val="12"/>
      <color rgb="FF56585B"/>
      <name val="Calibri"/>
      <family val="2"/>
    </font>
    <font>
      <sz val="12"/>
      <color rgb="FF000000"/>
      <name val="Calibri"/>
      <family val="2"/>
    </font>
    <font>
      <sz val="12"/>
      <name val="Calibri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000000"/>
      <name val="Calibri"/>
      <family val="2"/>
    </font>
    <font>
      <sz val="12"/>
      <color indexed="8"/>
      <name val="Calibri"/>
      <family val="2"/>
      <scheme val="minor"/>
    </font>
    <font>
      <sz val="12"/>
      <color rgb="FF333333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339966"/>
      <name val="Calibri"/>
      <family val="2"/>
    </font>
    <font>
      <sz val="12"/>
      <color rgb="FF56585B"/>
      <name val="Calibri"/>
      <family val="2"/>
    </font>
    <font>
      <sz val="12"/>
      <color rgb="FF333333"/>
      <name val="Calibri"/>
      <family val="2"/>
    </font>
    <font>
      <b/>
      <sz val="11"/>
      <color rgb="FFFFFF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b/>
      <sz val="11"/>
      <color rgb="FF000000"/>
      <name val="Arial"/>
      <family val="2"/>
    </font>
    <font>
      <b/>
      <sz val="12"/>
      <color rgb="FF56585B"/>
      <name val="Arial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sz val="11"/>
      <name val="Arial"/>
      <family val="2"/>
    </font>
    <font>
      <sz val="12"/>
      <color rgb="FF000000"/>
      <name val="Arial"/>
      <family val="2"/>
    </font>
    <font>
      <sz val="12"/>
      <name val="Arial"/>
      <family val="2"/>
    </font>
    <font>
      <sz val="10"/>
      <color rgb="FF333333"/>
      <name val="Arial"/>
      <family val="2"/>
    </font>
    <font>
      <b/>
      <sz val="12"/>
      <color rgb="FF000000"/>
      <name val="Arial"/>
      <family val="2"/>
    </font>
    <font>
      <b/>
      <sz val="11"/>
      <color rgb="FF56585B"/>
      <name val="Arial"/>
      <family val="2"/>
    </font>
    <font>
      <sz val="26"/>
      <color indexed="8"/>
      <name val="Calibri"/>
      <family val="2"/>
      <scheme val="minor"/>
    </font>
    <font>
      <sz val="22"/>
      <color indexed="8"/>
      <name val="Calibri"/>
      <family val="2"/>
      <scheme val="minor"/>
    </font>
    <font>
      <sz val="20"/>
      <color indexed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rgb="FFD5D3D1"/>
      </left>
      <right style="thin">
        <color rgb="FFD5D3D1"/>
      </right>
      <top style="thin">
        <color rgb="FFD5D3D1"/>
      </top>
      <bottom style="thin">
        <color rgb="FFD5D3D1"/>
      </bottom>
      <diagonal/>
    </border>
    <border>
      <left style="thin">
        <color rgb="FFD5D3D1"/>
      </left>
      <right style="thin">
        <color rgb="FFD5D3D1"/>
      </right>
      <top/>
      <bottom style="thin">
        <color rgb="FFD5D3D1"/>
      </bottom>
      <diagonal/>
    </border>
    <border>
      <left style="thin">
        <color rgb="FFD5D3D1"/>
      </left>
      <right style="thin">
        <color rgb="FFD5D3D1"/>
      </right>
      <top style="thin">
        <color rgb="FFD5D3D1"/>
      </top>
      <bottom/>
      <diagonal/>
    </border>
    <border>
      <left style="thin">
        <color rgb="FFD5D3D1"/>
      </left>
      <right style="thin">
        <color rgb="FFD5D3D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167" fontId="5" fillId="0" borderId="0" applyFont="0" applyFill="0" applyBorder="0" applyAlignment="0" applyProtection="0"/>
    <xf numFmtId="0" fontId="6" fillId="0" borderId="0"/>
    <xf numFmtId="166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331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68" fontId="1" fillId="0" borderId="0" xfId="1" applyNumberFormat="1" applyFont="1" applyFill="1" applyBorder="1" applyAlignment="1">
      <alignment horizontal="center"/>
    </xf>
    <xf numFmtId="168" fontId="0" fillId="0" borderId="0" xfId="1" applyNumberFormat="1" applyFont="1" applyFill="1" applyBorder="1"/>
    <xf numFmtId="169" fontId="0" fillId="0" borderId="0" xfId="3" applyNumberFormat="1" applyFont="1"/>
    <xf numFmtId="16" fontId="0" fillId="0" borderId="0" xfId="0" applyNumberFormat="1"/>
    <xf numFmtId="169" fontId="1" fillId="0" borderId="0" xfId="3" applyNumberFormat="1" applyFont="1" applyFill="1" applyBorder="1" applyAlignment="1">
      <alignment horizontal="center"/>
    </xf>
    <xf numFmtId="0" fontId="9" fillId="2" borderId="0" xfId="0" applyFont="1" applyFill="1" applyAlignment="1">
      <alignment horizontal="center"/>
    </xf>
    <xf numFmtId="0" fontId="9" fillId="2" borderId="0" xfId="0" applyFont="1" applyFill="1" applyAlignment="1">
      <alignment horizontal="left"/>
    </xf>
    <xf numFmtId="0" fontId="0" fillId="0" borderId="0" xfId="0" pivotButton="1"/>
    <xf numFmtId="168" fontId="0" fillId="0" borderId="0" xfId="1" applyNumberFormat="1" applyFont="1" applyFill="1"/>
    <xf numFmtId="170" fontId="0" fillId="0" borderId="0" xfId="0" applyNumberFormat="1"/>
    <xf numFmtId="0" fontId="0" fillId="0" borderId="0" xfId="0" applyAlignment="1">
      <alignment horizontal="left"/>
    </xf>
    <xf numFmtId="0" fontId="11" fillId="5" borderId="5" xfId="0" applyFont="1" applyFill="1" applyBorder="1"/>
    <xf numFmtId="0" fontId="11" fillId="5" borderId="6" xfId="0" applyFont="1" applyFill="1" applyBorder="1"/>
    <xf numFmtId="10" fontId="0" fillId="0" borderId="0" xfId="4" applyNumberFormat="1" applyFont="1"/>
    <xf numFmtId="0" fontId="4" fillId="0" borderId="0" xfId="0" applyFont="1"/>
    <xf numFmtId="165" fontId="11" fillId="5" borderId="0" xfId="5" applyFont="1" applyFill="1"/>
    <xf numFmtId="165" fontId="0" fillId="0" borderId="0" xfId="5" applyFont="1"/>
    <xf numFmtId="171" fontId="0" fillId="0" borderId="0" xfId="5" applyNumberFormat="1" applyFont="1"/>
    <xf numFmtId="171" fontId="11" fillId="4" borderId="7" xfId="5" applyNumberFormat="1" applyFont="1" applyFill="1" applyBorder="1"/>
    <xf numFmtId="171" fontId="11" fillId="4" borderId="0" xfId="5" applyNumberFormat="1" applyFont="1" applyFill="1" applyBorder="1"/>
    <xf numFmtId="171" fontId="0" fillId="0" borderId="0" xfId="0" pivotButton="1" applyNumberFormat="1"/>
    <xf numFmtId="171" fontId="0" fillId="0" borderId="0" xfId="0" applyNumberFormat="1"/>
    <xf numFmtId="0" fontId="11" fillId="0" borderId="7" xfId="0" applyFont="1" applyBorder="1"/>
    <xf numFmtId="0" fontId="11" fillId="0" borderId="0" xfId="0" applyFont="1"/>
    <xf numFmtId="0" fontId="4" fillId="4" borderId="0" xfId="0" applyFont="1" applyFill="1" applyAlignment="1">
      <alignment horizontal="center"/>
    </xf>
    <xf numFmtId="0" fontId="11" fillId="4" borderId="0" xfId="0" applyFont="1" applyFill="1"/>
    <xf numFmtId="0" fontId="2" fillId="0" borderId="2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0" xfId="0" applyFont="1"/>
    <xf numFmtId="0" fontId="2" fillId="0" borderId="3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13" fillId="0" borderId="0" xfId="0" applyFont="1" applyAlignment="1">
      <alignment horizontal="left"/>
    </xf>
    <xf numFmtId="0" fontId="0" fillId="0" borderId="0" xfId="0" applyNumberFormat="1"/>
    <xf numFmtId="0" fontId="0" fillId="0" borderId="0" xfId="0" applyFill="1"/>
    <xf numFmtId="0" fontId="4" fillId="4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0" xfId="0" applyFont="1" applyFill="1" applyAlignment="1">
      <alignment horizontal="left"/>
    </xf>
    <xf numFmtId="0" fontId="0" fillId="0" borderId="8" xfId="0" applyBorder="1"/>
    <xf numFmtId="0" fontId="2" fillId="0" borderId="8" xfId="0" applyFont="1" applyBorder="1" applyAlignment="1">
      <alignment horizontal="left"/>
    </xf>
    <xf numFmtId="168" fontId="0" fillId="0" borderId="8" xfId="1" applyNumberFormat="1" applyFont="1" applyFill="1" applyBorder="1"/>
    <xf numFmtId="169" fontId="0" fillId="0" borderId="8" xfId="3" applyNumberFormat="1" applyFont="1" applyBorder="1"/>
    <xf numFmtId="0" fontId="14" fillId="0" borderId="8" xfId="0" applyFont="1" applyBorder="1"/>
    <xf numFmtId="0" fontId="0" fillId="0" borderId="8" xfId="0" applyFill="1" applyBorder="1"/>
    <xf numFmtId="0" fontId="2" fillId="0" borderId="8" xfId="0" applyFont="1" applyFill="1" applyBorder="1" applyAlignment="1">
      <alignment horizontal="left"/>
    </xf>
    <xf numFmtId="169" fontId="0" fillId="0" borderId="8" xfId="3" applyNumberFormat="1" applyFont="1" applyFill="1" applyBorder="1"/>
    <xf numFmtId="0" fontId="3" fillId="0" borderId="8" xfId="0" applyFont="1" applyFill="1" applyBorder="1" applyAlignment="1">
      <alignment horizontal="left"/>
    </xf>
    <xf numFmtId="16" fontId="0" fillId="0" borderId="8" xfId="0" applyNumberFormat="1" applyBorder="1"/>
    <xf numFmtId="0" fontId="2" fillId="0" borderId="8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16" fontId="0" fillId="0" borderId="8" xfId="0" applyNumberFormat="1" applyFill="1" applyBorder="1"/>
    <xf numFmtId="0" fontId="3" fillId="0" borderId="8" xfId="0" applyFont="1" applyFill="1" applyBorder="1" applyAlignment="1">
      <alignment horizontal="center"/>
    </xf>
    <xf numFmtId="0" fontId="2" fillId="0" borderId="8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15" fillId="0" borderId="8" xfId="0" applyFont="1" applyBorder="1"/>
    <xf numFmtId="14" fontId="0" fillId="0" borderId="0" xfId="0" applyNumberFormat="1" applyAlignment="1">
      <alignment horizontal="left"/>
    </xf>
    <xf numFmtId="169" fontId="0" fillId="0" borderId="0" xfId="0" applyNumberFormat="1"/>
    <xf numFmtId="0" fontId="4" fillId="0" borderId="0" xfId="0" applyFont="1" applyFill="1" applyAlignment="1"/>
    <xf numFmtId="0" fontId="11" fillId="4" borderId="0" xfId="0" applyFont="1" applyFill="1" applyBorder="1"/>
    <xf numFmtId="0" fontId="18" fillId="0" borderId="0" xfId="0" applyFont="1" applyBorder="1" applyAlignment="1">
      <alignment horizontal="center"/>
    </xf>
    <xf numFmtId="0" fontId="18" fillId="0" borderId="0" xfId="0" applyFont="1" applyBorder="1" applyAlignment="1">
      <alignment horizontal="left"/>
    </xf>
    <xf numFmtId="0" fontId="17" fillId="0" borderId="0" xfId="0" applyFont="1" applyBorder="1" applyAlignment="1">
      <alignment horizontal="left"/>
    </xf>
    <xf numFmtId="0" fontId="17" fillId="0" borderId="8" xfId="0" applyFont="1" applyBorder="1" applyAlignment="1">
      <alignment horizontal="center"/>
    </xf>
    <xf numFmtId="0" fontId="17" fillId="0" borderId="8" xfId="0" applyFont="1" applyBorder="1" applyAlignment="1">
      <alignment horizontal="left"/>
    </xf>
    <xf numFmtId="16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0" fontId="2" fillId="0" borderId="8" xfId="0" applyNumberFormat="1" applyFont="1" applyBorder="1" applyAlignment="1">
      <alignment horizontal="right"/>
    </xf>
    <xf numFmtId="2" fontId="2" fillId="0" borderId="8" xfId="0" applyNumberFormat="1" applyFont="1" applyBorder="1" applyAlignment="1">
      <alignment horizontal="right"/>
    </xf>
    <xf numFmtId="0" fontId="2" fillId="0" borderId="0" xfId="0" applyNumberFormat="1" applyFont="1" applyAlignment="1">
      <alignment horizontal="center"/>
    </xf>
    <xf numFmtId="0" fontId="0" fillId="0" borderId="8" xfId="0" applyNumberFormat="1" applyFont="1" applyBorder="1" applyAlignment="1">
      <alignment horizontal="right"/>
    </xf>
    <xf numFmtId="0" fontId="5" fillId="0" borderId="8" xfId="1" applyNumberFormat="1" applyFont="1" applyFill="1" applyBorder="1" applyAlignment="1">
      <alignment horizontal="right"/>
    </xf>
    <xf numFmtId="0" fontId="0" fillId="0" borderId="8" xfId="1" applyNumberFormat="1" applyFont="1" applyFill="1" applyBorder="1" applyAlignment="1">
      <alignment horizontal="right"/>
    </xf>
    <xf numFmtId="0" fontId="0" fillId="0" borderId="8" xfId="0" applyNumberFormat="1" applyBorder="1" applyAlignment="1">
      <alignment horizontal="right"/>
    </xf>
    <xf numFmtId="0" fontId="0" fillId="0" borderId="0" xfId="0" applyNumberFormat="1" applyFont="1" applyAlignment="1">
      <alignment horizontal="center"/>
    </xf>
    <xf numFmtId="0" fontId="5" fillId="0" borderId="0" xfId="1" applyNumberFormat="1" applyFont="1" applyFill="1" applyBorder="1" applyAlignment="1">
      <alignment horizontal="center"/>
    </xf>
    <xf numFmtId="0" fontId="2" fillId="0" borderId="1" xfId="0" applyNumberFormat="1" applyFont="1" applyBorder="1" applyAlignment="1">
      <alignment horizontal="center"/>
    </xf>
    <xf numFmtId="0" fontId="7" fillId="2" borderId="0" xfId="0" applyFont="1" applyFill="1" applyAlignment="1">
      <alignment horizontal="center" vertical="center" wrapText="1"/>
    </xf>
    <xf numFmtId="168" fontId="8" fillId="2" borderId="0" xfId="1" applyNumberFormat="1" applyFont="1" applyFill="1" applyBorder="1" applyAlignment="1"/>
    <xf numFmtId="0" fontId="8" fillId="2" borderId="0" xfId="0" applyFont="1" applyFill="1" applyAlignment="1"/>
    <xf numFmtId="0" fontId="0" fillId="0" borderId="8" xfId="0" applyBorder="1" applyAlignment="1"/>
    <xf numFmtId="0" fontId="12" fillId="6" borderId="0" xfId="0" applyFont="1" applyFill="1" applyAlignment="1"/>
    <xf numFmtId="0" fontId="16" fillId="3" borderId="0" xfId="0" applyFont="1" applyFill="1" applyAlignment="1">
      <alignment horizontal="center" vertical="center" wrapText="1"/>
    </xf>
    <xf numFmtId="168" fontId="12" fillId="3" borderId="0" xfId="1" applyNumberFormat="1" applyFont="1" applyFill="1" applyBorder="1" applyAlignment="1"/>
    <xf numFmtId="0" fontId="12" fillId="3" borderId="0" xfId="0" applyFont="1" applyFill="1" applyAlignment="1"/>
    <xf numFmtId="0" fontId="7" fillId="0" borderId="8" xfId="0" applyFont="1" applyFill="1" applyBorder="1" applyAlignment="1">
      <alignment horizontal="center" vertical="center" wrapText="1"/>
    </xf>
    <xf numFmtId="0" fontId="9" fillId="0" borderId="8" xfId="0" applyFont="1" applyFill="1" applyBorder="1" applyAlignment="1">
      <alignment horizontal="center"/>
    </xf>
    <xf numFmtId="164" fontId="0" fillId="0" borderId="8" xfId="6" applyFont="1" applyBorder="1"/>
    <xf numFmtId="0" fontId="0" fillId="0" borderId="8" xfId="0" applyBorder="1" applyAlignment="1">
      <alignment horizontal="right"/>
    </xf>
    <xf numFmtId="0" fontId="0" fillId="0" borderId="8" xfId="0" applyBorder="1" applyAlignment="1">
      <alignment horizontal="left"/>
    </xf>
    <xf numFmtId="0" fontId="0" fillId="0" borderId="8" xfId="0" applyFont="1" applyBorder="1" applyAlignment="1">
      <alignment horizontal="center"/>
    </xf>
    <xf numFmtId="0" fontId="8" fillId="2" borderId="0" xfId="0" applyNumberFormat="1" applyFont="1" applyFill="1" applyAlignment="1"/>
    <xf numFmtId="0" fontId="12" fillId="3" borderId="0" xfId="0" applyNumberFormat="1" applyFont="1" applyFill="1" applyAlignment="1"/>
    <xf numFmtId="1" fontId="12" fillId="3" borderId="0" xfId="0" applyNumberFormat="1" applyFont="1" applyFill="1" applyAlignment="1">
      <alignment horizontal="right"/>
    </xf>
    <xf numFmtId="0" fontId="2" fillId="0" borderId="8" xfId="0" applyFont="1" applyBorder="1" applyAlignment="1">
      <alignment horizontal="right"/>
    </xf>
    <xf numFmtId="0" fontId="2" fillId="0" borderId="0" xfId="0" applyNumberFormat="1" applyFont="1" applyBorder="1" applyAlignment="1">
      <alignment horizontal="center"/>
    </xf>
    <xf numFmtId="0" fontId="2" fillId="0" borderId="2" xfId="0" applyNumberFormat="1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168" fontId="4" fillId="0" borderId="8" xfId="1" applyNumberFormat="1" applyFont="1" applyFill="1" applyBorder="1" applyAlignment="1">
      <alignment horizontal="center"/>
    </xf>
    <xf numFmtId="0" fontId="2" fillId="0" borderId="3" xfId="0" applyNumberFormat="1" applyFont="1" applyBorder="1" applyAlignment="1">
      <alignment horizontal="center"/>
    </xf>
    <xf numFmtId="0" fontId="9" fillId="2" borderId="0" xfId="0" applyNumberFormat="1" applyFont="1" applyFill="1" applyAlignment="1">
      <alignment horizontal="left"/>
    </xf>
    <xf numFmtId="0" fontId="8" fillId="2" borderId="0" xfId="0" applyNumberFormat="1" applyFont="1" applyFill="1" applyAlignment="1">
      <alignment horizontal="right"/>
    </xf>
    <xf numFmtId="0" fontId="2" fillId="0" borderId="8" xfId="0" applyNumberFormat="1" applyFont="1" applyBorder="1" applyAlignment="1">
      <alignment horizontal="center"/>
    </xf>
    <xf numFmtId="0" fontId="0" fillId="0" borderId="8" xfId="0" applyNumberFormat="1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3" fillId="0" borderId="0" xfId="0" applyFont="1" applyFill="1" applyAlignment="1">
      <alignment horizontal="left"/>
    </xf>
    <xf numFmtId="168" fontId="12" fillId="0" borderId="0" xfId="1" applyNumberFormat="1" applyFont="1" applyFill="1" applyBorder="1" applyAlignment="1"/>
    <xf numFmtId="0" fontId="12" fillId="0" borderId="0" xfId="0" applyNumberFormat="1" applyFont="1" applyFill="1" applyAlignment="1"/>
    <xf numFmtId="168" fontId="8" fillId="2" borderId="0" xfId="1" applyNumberFormat="1" applyFont="1" applyFill="1" applyBorder="1" applyAlignment="1">
      <alignment horizontal="left"/>
    </xf>
    <xf numFmtId="0" fontId="16" fillId="0" borderId="8" xfId="0" applyFont="1" applyFill="1" applyBorder="1" applyAlignment="1">
      <alignment horizontal="center" vertical="center" wrapText="1"/>
    </xf>
    <xf numFmtId="0" fontId="14" fillId="0" borderId="8" xfId="0" applyFont="1" applyBorder="1" applyAlignment="1">
      <alignment horizontal="center"/>
    </xf>
    <xf numFmtId="0" fontId="0" fillId="0" borderId="8" xfId="0" applyFont="1" applyBorder="1" applyAlignment="1">
      <alignment horizontal="right"/>
    </xf>
    <xf numFmtId="0" fontId="20" fillId="0" borderId="8" xfId="1" applyNumberFormat="1" applyFont="1" applyFill="1" applyBorder="1" applyAlignment="1">
      <alignment horizontal="right"/>
    </xf>
    <xf numFmtId="0" fontId="20" fillId="0" borderId="8" xfId="0" applyFont="1" applyBorder="1" applyAlignment="1">
      <alignment horizontal="right"/>
    </xf>
    <xf numFmtId="168" fontId="5" fillId="0" borderId="8" xfId="1" applyNumberFormat="1" applyFont="1" applyFill="1" applyBorder="1" applyAlignment="1">
      <alignment horizontal="right"/>
    </xf>
    <xf numFmtId="0" fontId="0" fillId="0" borderId="10" xfId="0" applyBorder="1"/>
    <xf numFmtId="16" fontId="0" fillId="6" borderId="8" xfId="0" applyNumberFormat="1" applyFill="1" applyBorder="1"/>
    <xf numFmtId="0" fontId="2" fillId="6" borderId="8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left"/>
    </xf>
    <xf numFmtId="0" fontId="2" fillId="6" borderId="8" xfId="0" applyNumberFormat="1" applyFont="1" applyFill="1" applyBorder="1" applyAlignment="1">
      <alignment horizontal="center"/>
    </xf>
    <xf numFmtId="0" fontId="0" fillId="6" borderId="8" xfId="0" applyNumberFormat="1" applyFont="1" applyFill="1" applyBorder="1" applyAlignment="1">
      <alignment horizontal="right"/>
    </xf>
    <xf numFmtId="0" fontId="0" fillId="6" borderId="8" xfId="0" applyFill="1" applyBorder="1" applyAlignment="1">
      <alignment horizontal="center"/>
    </xf>
    <xf numFmtId="16" fontId="0" fillId="7" borderId="8" xfId="0" applyNumberFormat="1" applyFill="1" applyBorder="1"/>
    <xf numFmtId="0" fontId="2" fillId="7" borderId="8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left"/>
    </xf>
    <xf numFmtId="0" fontId="2" fillId="7" borderId="8" xfId="0" applyNumberFormat="1" applyFont="1" applyFill="1" applyBorder="1" applyAlignment="1">
      <alignment horizontal="center"/>
    </xf>
    <xf numFmtId="0" fontId="0" fillId="7" borderId="8" xfId="0" applyNumberFormat="1" applyFont="1" applyFill="1" applyBorder="1" applyAlignment="1">
      <alignment horizontal="right"/>
    </xf>
    <xf numFmtId="0" fontId="0" fillId="7" borderId="8" xfId="0" applyFill="1" applyBorder="1" applyAlignment="1">
      <alignment horizontal="center"/>
    </xf>
    <xf numFmtId="0" fontId="0" fillId="7" borderId="8" xfId="0" applyFill="1" applyBorder="1" applyAlignment="1">
      <alignment horizontal="right"/>
    </xf>
    <xf numFmtId="0" fontId="0" fillId="7" borderId="8" xfId="0" applyNumberFormat="1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20" fillId="6" borderId="8" xfId="0" applyFont="1" applyFill="1" applyBorder="1" applyAlignment="1">
      <alignment horizontal="center"/>
    </xf>
    <xf numFmtId="0" fontId="20" fillId="6" borderId="8" xfId="1" applyNumberFormat="1" applyFont="1" applyFill="1" applyBorder="1" applyAlignment="1">
      <alignment horizontal="right"/>
    </xf>
    <xf numFmtId="0" fontId="0" fillId="6" borderId="8" xfId="0" applyFont="1" applyFill="1" applyBorder="1" applyAlignment="1">
      <alignment horizontal="center"/>
    </xf>
    <xf numFmtId="0" fontId="5" fillId="6" borderId="8" xfId="1" applyNumberFormat="1" applyFont="1" applyFill="1" applyBorder="1" applyAlignment="1">
      <alignment horizontal="right"/>
    </xf>
    <xf numFmtId="0" fontId="0" fillId="6" borderId="8" xfId="0" applyFill="1" applyBorder="1"/>
    <xf numFmtId="0" fontId="0" fillId="0" borderId="0" xfId="0" applyAlignment="1">
      <alignment horizontal="center" vertical="center"/>
    </xf>
    <xf numFmtId="0" fontId="0" fillId="0" borderId="8" xfId="0" applyNumberFormat="1" applyBorder="1" applyAlignment="1">
      <alignment horizontal="center"/>
    </xf>
    <xf numFmtId="0" fontId="3" fillId="0" borderId="8" xfId="0" applyNumberFormat="1" applyFont="1" applyFill="1" applyBorder="1" applyAlignment="1">
      <alignment horizontal="center"/>
    </xf>
    <xf numFmtId="0" fontId="20" fillId="0" borderId="8" xfId="0" applyNumberFormat="1" applyFont="1" applyBorder="1" applyAlignment="1">
      <alignment horizontal="center"/>
    </xf>
    <xf numFmtId="0" fontId="0" fillId="0" borderId="8" xfId="0" applyFill="1" applyBorder="1" applyAlignment="1">
      <alignment horizontal="right"/>
    </xf>
    <xf numFmtId="168" fontId="8" fillId="2" borderId="0" xfId="1" applyNumberFormat="1" applyFont="1" applyFill="1" applyBorder="1" applyAlignment="1">
      <alignment horizontal="center"/>
    </xf>
    <xf numFmtId="0" fontId="8" fillId="2" borderId="0" xfId="0" applyNumberFormat="1" applyFont="1" applyFill="1" applyAlignment="1">
      <alignment horizontal="center"/>
    </xf>
    <xf numFmtId="0" fontId="9" fillId="2" borderId="0" xfId="0" applyNumberFormat="1" applyFont="1" applyFill="1" applyAlignment="1">
      <alignment horizontal="center"/>
    </xf>
    <xf numFmtId="0" fontId="12" fillId="3" borderId="0" xfId="0" applyNumberFormat="1" applyFont="1" applyFill="1" applyAlignment="1">
      <alignment horizontal="center"/>
    </xf>
    <xf numFmtId="0" fontId="3" fillId="3" borderId="0" xfId="0" applyNumberFormat="1" applyFont="1" applyFill="1" applyAlignment="1">
      <alignment horizontal="center"/>
    </xf>
    <xf numFmtId="0" fontId="7" fillId="2" borderId="0" xfId="0" applyNumberFormat="1" applyFont="1" applyFill="1" applyAlignment="1">
      <alignment horizontal="center" vertical="center" wrapText="1"/>
    </xf>
    <xf numFmtId="0" fontId="16" fillId="3" borderId="0" xfId="0" applyNumberFormat="1" applyFont="1" applyFill="1" applyAlignment="1">
      <alignment horizontal="center" vertical="center" wrapText="1"/>
    </xf>
    <xf numFmtId="0" fontId="0" fillId="0" borderId="8" xfId="0" applyNumberFormat="1" applyBorder="1"/>
    <xf numFmtId="0" fontId="3" fillId="0" borderId="8" xfId="0" applyNumberFormat="1" applyFont="1" applyBorder="1" applyAlignment="1">
      <alignment horizontal="center"/>
    </xf>
    <xf numFmtId="0" fontId="0" fillId="0" borderId="8" xfId="0" applyNumberFormat="1" applyFill="1" applyBorder="1" applyAlignment="1">
      <alignment horizontal="right"/>
    </xf>
    <xf numFmtId="0" fontId="2" fillId="0" borderId="8" xfId="0" applyNumberFormat="1" applyFont="1" applyFill="1" applyBorder="1" applyAlignment="1">
      <alignment horizontal="center"/>
    </xf>
    <xf numFmtId="0" fontId="0" fillId="0" borderId="8" xfId="0" applyNumberFormat="1" applyFont="1" applyFill="1" applyBorder="1" applyAlignment="1">
      <alignment horizontal="right"/>
    </xf>
    <xf numFmtId="0" fontId="2" fillId="0" borderId="8" xfId="0" applyFont="1" applyBorder="1" applyAlignment="1"/>
    <xf numFmtId="0" fontId="4" fillId="4" borderId="0" xfId="0" applyFont="1" applyFill="1" applyAlignment="1">
      <alignment horizontal="center"/>
    </xf>
    <xf numFmtId="167" fontId="0" fillId="0" borderId="0" xfId="1" applyFont="1"/>
    <xf numFmtId="172" fontId="0" fillId="0" borderId="0" xfId="0" applyNumberFormat="1"/>
    <xf numFmtId="43" fontId="0" fillId="0" borderId="0" xfId="0" applyNumberFormat="1"/>
    <xf numFmtId="0" fontId="0" fillId="6" borderId="0" xfId="0" applyFill="1"/>
    <xf numFmtId="0" fontId="26" fillId="0" borderId="0" xfId="0" applyFont="1"/>
    <xf numFmtId="0" fontId="27" fillId="0" borderId="8" xfId="0" applyFont="1" applyBorder="1" applyAlignment="1">
      <alignment horizontal="center"/>
    </xf>
    <xf numFmtId="0" fontId="25" fillId="0" borderId="8" xfId="0" applyFont="1" applyBorder="1" applyAlignment="1">
      <alignment horizontal="center"/>
    </xf>
    <xf numFmtId="168" fontId="25" fillId="0" borderId="8" xfId="1" applyNumberFormat="1" applyFont="1" applyFill="1" applyBorder="1" applyAlignment="1">
      <alignment horizontal="center"/>
    </xf>
    <xf numFmtId="173" fontId="28" fillId="0" borderId="8" xfId="0" applyNumberFormat="1" applyFont="1" applyBorder="1" applyAlignment="1">
      <alignment horizontal="center"/>
    </xf>
    <xf numFmtId="0" fontId="29" fillId="0" borderId="8" xfId="0" applyFont="1" applyBorder="1" applyAlignment="1">
      <alignment horizontal="center"/>
    </xf>
    <xf numFmtId="0" fontId="30" fillId="0" borderId="8" xfId="0" applyFont="1" applyBorder="1" applyAlignment="1">
      <alignment horizontal="left"/>
    </xf>
    <xf numFmtId="0" fontId="31" fillId="0" borderId="8" xfId="0" applyFont="1" applyBorder="1" applyAlignment="1">
      <alignment horizontal="left"/>
    </xf>
    <xf numFmtId="0" fontId="26" fillId="0" borderId="8" xfId="0" applyFont="1" applyBorder="1" applyAlignment="1">
      <alignment horizontal="left"/>
    </xf>
    <xf numFmtId="173" fontId="26" fillId="0" borderId="8" xfId="0" applyNumberFormat="1" applyFont="1" applyBorder="1"/>
    <xf numFmtId="173" fontId="26" fillId="0" borderId="8" xfId="1" applyNumberFormat="1" applyFont="1" applyFill="1" applyBorder="1"/>
    <xf numFmtId="0" fontId="26" fillId="0" borderId="8" xfId="0" applyFont="1" applyBorder="1"/>
    <xf numFmtId="172" fontId="26" fillId="0" borderId="8" xfId="1" applyNumberFormat="1" applyFont="1" applyBorder="1"/>
    <xf numFmtId="0" fontId="6" fillId="0" borderId="8" xfId="0" applyFont="1" applyBorder="1" applyAlignment="1">
      <alignment horizontal="left"/>
    </xf>
    <xf numFmtId="172" fontId="26" fillId="0" borderId="0" xfId="1" applyNumberFormat="1" applyFont="1"/>
    <xf numFmtId="168" fontId="26" fillId="0" borderId="0" xfId="1" applyNumberFormat="1" applyFont="1" applyFill="1" applyBorder="1"/>
    <xf numFmtId="0" fontId="32" fillId="0" borderId="8" xfId="0" applyFont="1" applyBorder="1" applyAlignment="1">
      <alignment horizontal="left"/>
    </xf>
    <xf numFmtId="0" fontId="32" fillId="0" borderId="8" xfId="1" applyNumberFormat="1" applyFont="1" applyFill="1" applyBorder="1" applyAlignment="1">
      <alignment horizontal="left"/>
    </xf>
    <xf numFmtId="0" fontId="29" fillId="0" borderId="8" xfId="0" applyFont="1" applyBorder="1" applyAlignment="1">
      <alignment horizontal="left"/>
    </xf>
    <xf numFmtId="172" fontId="26" fillId="0" borderId="0" xfId="0" applyNumberFormat="1" applyFont="1"/>
    <xf numFmtId="1" fontId="26" fillId="0" borderId="8" xfId="1" applyNumberFormat="1" applyFont="1" applyFill="1" applyBorder="1" applyAlignment="1">
      <alignment horizontal="left"/>
    </xf>
    <xf numFmtId="1" fontId="26" fillId="0" borderId="8" xfId="0" applyNumberFormat="1" applyFont="1" applyBorder="1" applyAlignment="1">
      <alignment horizontal="left"/>
    </xf>
    <xf numFmtId="0" fontId="30" fillId="0" borderId="0" xfId="0" applyFont="1" applyAlignment="1">
      <alignment horizontal="left"/>
    </xf>
    <xf numFmtId="0" fontId="31" fillId="0" borderId="0" xfId="0" applyFont="1" applyAlignment="1">
      <alignment horizontal="left"/>
    </xf>
    <xf numFmtId="172" fontId="25" fillId="0" borderId="8" xfId="1" applyNumberFormat="1" applyFont="1" applyBorder="1" applyAlignment="1">
      <alignment horizontal="right"/>
    </xf>
    <xf numFmtId="0" fontId="33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168" fontId="25" fillId="0" borderId="8" xfId="1" applyNumberFormat="1" applyFont="1" applyFill="1" applyBorder="1" applyAlignment="1">
      <alignment horizontal="right"/>
    </xf>
    <xf numFmtId="172" fontId="25" fillId="0" borderId="0" xfId="1" applyNumberFormat="1" applyFont="1" applyBorder="1" applyAlignment="1">
      <alignment horizontal="right"/>
    </xf>
    <xf numFmtId="168" fontId="25" fillId="0" borderId="0" xfId="1" applyNumberFormat="1" applyFont="1" applyFill="1" applyBorder="1" applyAlignment="1">
      <alignment horizontal="right"/>
    </xf>
    <xf numFmtId="0" fontId="26" fillId="0" borderId="8" xfId="0" applyFont="1" applyBorder="1" applyAlignment="1">
      <alignment horizontal="center"/>
    </xf>
    <xf numFmtId="0" fontId="26" fillId="0" borderId="8" xfId="1" applyNumberFormat="1" applyFont="1" applyFill="1" applyBorder="1" applyAlignment="1">
      <alignment horizontal="left"/>
    </xf>
    <xf numFmtId="168" fontId="26" fillId="0" borderId="8" xfId="1" applyNumberFormat="1" applyFont="1" applyFill="1" applyBorder="1"/>
    <xf numFmtId="0" fontId="35" fillId="0" borderId="8" xfId="0" applyFont="1" applyBorder="1" applyAlignment="1">
      <alignment horizontal="left"/>
    </xf>
    <xf numFmtId="0" fontId="33" fillId="0" borderId="2" xfId="0" applyFont="1" applyBorder="1" applyAlignment="1">
      <alignment horizontal="left"/>
    </xf>
    <xf numFmtId="0" fontId="33" fillId="0" borderId="0" xfId="0" applyFont="1" applyAlignment="1">
      <alignment horizontal="center"/>
    </xf>
    <xf numFmtId="0" fontId="36" fillId="0" borderId="0" xfId="0" applyFont="1" applyAlignment="1">
      <alignment horizontal="left"/>
    </xf>
    <xf numFmtId="0" fontId="33" fillId="0" borderId="1" xfId="0" applyFont="1" applyBorder="1" applyAlignment="1">
      <alignment horizontal="left"/>
    </xf>
    <xf numFmtId="0" fontId="33" fillId="0" borderId="0" xfId="0" applyFont="1"/>
    <xf numFmtId="0" fontId="33" fillId="0" borderId="3" xfId="0" applyFont="1" applyBorder="1" applyAlignment="1">
      <alignment horizontal="left"/>
    </xf>
    <xf numFmtId="172" fontId="25" fillId="0" borderId="0" xfId="0" applyNumberFormat="1" applyFont="1"/>
    <xf numFmtId="173" fontId="26" fillId="0" borderId="0" xfId="0" applyNumberFormat="1" applyFont="1"/>
    <xf numFmtId="167" fontId="37" fillId="0" borderId="8" xfId="1" applyFont="1" applyBorder="1" applyAlignment="1">
      <alignment horizontal="center"/>
    </xf>
    <xf numFmtId="0" fontId="26" fillId="0" borderId="11" xfId="0" applyFont="1" applyBorder="1" applyAlignment="1">
      <alignment horizontal="left"/>
    </xf>
    <xf numFmtId="0" fontId="0" fillId="0" borderId="0" xfId="0" applyAlignment="1"/>
    <xf numFmtId="43" fontId="26" fillId="0" borderId="0" xfId="0" applyNumberFormat="1" applyFont="1"/>
    <xf numFmtId="1" fontId="30" fillId="0" borderId="8" xfId="0" applyNumberFormat="1" applyFont="1" applyBorder="1" applyAlignment="1">
      <alignment horizontal="left"/>
    </xf>
    <xf numFmtId="1" fontId="6" fillId="0" borderId="8" xfId="0" applyNumberFormat="1" applyFont="1" applyBorder="1" applyAlignment="1">
      <alignment horizontal="left"/>
    </xf>
    <xf numFmtId="1" fontId="29" fillId="0" borderId="8" xfId="0" applyNumberFormat="1" applyFont="1" applyBorder="1" applyAlignment="1">
      <alignment horizontal="left"/>
    </xf>
    <xf numFmtId="1" fontId="30" fillId="0" borderId="0" xfId="0" applyNumberFormat="1" applyFont="1" applyAlignment="1">
      <alignment horizontal="left"/>
    </xf>
    <xf numFmtId="1" fontId="35" fillId="0" borderId="8" xfId="0" applyNumberFormat="1" applyFont="1" applyBorder="1" applyAlignment="1">
      <alignment horizontal="left"/>
    </xf>
    <xf numFmtId="1" fontId="31" fillId="0" borderId="8" xfId="0" applyNumberFormat="1" applyFont="1" applyBorder="1" applyAlignment="1">
      <alignment horizontal="left"/>
    </xf>
    <xf numFmtId="1" fontId="32" fillId="0" borderId="8" xfId="0" applyNumberFormat="1" applyFont="1" applyBorder="1" applyAlignment="1">
      <alignment horizontal="left"/>
    </xf>
    <xf numFmtId="172" fontId="26" fillId="6" borderId="8" xfId="1" applyNumberFormat="1" applyFont="1" applyFill="1" applyBorder="1"/>
    <xf numFmtId="0" fontId="25" fillId="0" borderId="8" xfId="0" applyFont="1" applyBorder="1" applyAlignment="1">
      <alignment horizontal="center"/>
    </xf>
    <xf numFmtId="0" fontId="33" fillId="0" borderId="8" xfId="0" applyFont="1" applyBorder="1" applyAlignment="1">
      <alignment horizontal="left"/>
    </xf>
    <xf numFmtId="0" fontId="26" fillId="6" borderId="0" xfId="0" applyFont="1" applyFill="1"/>
    <xf numFmtId="0" fontId="27" fillId="0" borderId="12" xfId="0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168" fontId="25" fillId="0" borderId="12" xfId="1" applyNumberFormat="1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30" fillId="0" borderId="14" xfId="0" applyFont="1" applyBorder="1" applyAlignment="1">
      <alignment horizontal="center"/>
    </xf>
    <xf numFmtId="0" fontId="31" fillId="10" borderId="14" xfId="0" applyFont="1" applyFill="1" applyBorder="1" applyAlignment="1">
      <alignment horizontal="left"/>
    </xf>
    <xf numFmtId="0" fontId="31" fillId="10" borderId="14" xfId="0" applyFont="1" applyFill="1" applyBorder="1" applyAlignment="1">
      <alignment horizontal="center"/>
    </xf>
    <xf numFmtId="0" fontId="26" fillId="10" borderId="14" xfId="0" applyFont="1" applyFill="1" applyBorder="1" applyAlignment="1">
      <alignment horizontal="center"/>
    </xf>
    <xf numFmtId="0" fontId="26" fillId="0" borderId="14" xfId="0" applyFont="1" applyBorder="1" applyAlignment="1">
      <alignment horizontal="center"/>
    </xf>
    <xf numFmtId="0" fontId="26" fillId="10" borderId="14" xfId="0" applyFont="1" applyFill="1" applyBorder="1"/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29" fillId="0" borderId="17" xfId="0" applyFont="1" applyBorder="1" applyAlignment="1">
      <alignment horizontal="center"/>
    </xf>
    <xf numFmtId="0" fontId="26" fillId="10" borderId="17" xfId="0" applyFont="1" applyFill="1" applyBorder="1" applyAlignment="1">
      <alignment horizontal="left"/>
    </xf>
    <xf numFmtId="0" fontId="31" fillId="10" borderId="17" xfId="0" applyFont="1" applyFill="1" applyBorder="1" applyAlignment="1">
      <alignment horizontal="center"/>
    </xf>
    <xf numFmtId="0" fontId="26" fillId="10" borderId="17" xfId="0" applyFont="1" applyFill="1" applyBorder="1" applyAlignment="1">
      <alignment horizontal="center"/>
    </xf>
    <xf numFmtId="0" fontId="26" fillId="0" borderId="17" xfId="0" applyFont="1" applyBorder="1" applyAlignment="1">
      <alignment horizontal="center"/>
    </xf>
    <xf numFmtId="0" fontId="31" fillId="10" borderId="17" xfId="0" applyFont="1" applyFill="1" applyBorder="1" applyAlignment="1">
      <alignment horizontal="left"/>
    </xf>
    <xf numFmtId="0" fontId="0" fillId="0" borderId="18" xfId="0" applyBorder="1" applyAlignment="1">
      <alignment horizontal="center"/>
    </xf>
    <xf numFmtId="0" fontId="30" fillId="0" borderId="17" xfId="0" applyFont="1" applyBorder="1" applyAlignment="1">
      <alignment horizontal="center"/>
    </xf>
    <xf numFmtId="0" fontId="32" fillId="10" borderId="17" xfId="1" applyNumberFormat="1" applyFont="1" applyFill="1" applyBorder="1" applyAlignment="1">
      <alignment horizontal="center"/>
    </xf>
    <xf numFmtId="0" fontId="29" fillId="0" borderId="14" xfId="0" applyFont="1" applyBorder="1" applyAlignment="1">
      <alignment horizontal="center"/>
    </xf>
    <xf numFmtId="0" fontId="32" fillId="10" borderId="14" xfId="0" applyFont="1" applyFill="1" applyBorder="1" applyAlignment="1">
      <alignment horizontal="center"/>
    </xf>
    <xf numFmtId="0" fontId="32" fillId="0" borderId="14" xfId="1" applyNumberFormat="1" applyFont="1" applyFill="1" applyBorder="1" applyAlignment="1">
      <alignment horizontal="center"/>
    </xf>
    <xf numFmtId="0" fontId="26" fillId="10" borderId="14" xfId="1" applyNumberFormat="1" applyFont="1" applyFill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26" fillId="0" borderId="17" xfId="0" applyFont="1" applyBorder="1" applyAlignment="1">
      <alignment horizontal="left"/>
    </xf>
    <xf numFmtId="0" fontId="31" fillId="0" borderId="17" xfId="0" applyFont="1" applyBorder="1" applyAlignment="1">
      <alignment horizontal="center"/>
    </xf>
    <xf numFmtId="1" fontId="26" fillId="0" borderId="17" xfId="1" applyNumberFormat="1" applyFont="1" applyFill="1" applyBorder="1" applyAlignment="1">
      <alignment horizontal="center"/>
    </xf>
    <xf numFmtId="0" fontId="31" fillId="8" borderId="17" xfId="0" applyFont="1" applyFill="1" applyBorder="1" applyAlignment="1">
      <alignment horizontal="left"/>
    </xf>
    <xf numFmtId="0" fontId="31" fillId="8" borderId="17" xfId="0" applyFont="1" applyFill="1" applyBorder="1" applyAlignment="1">
      <alignment horizontal="center"/>
    </xf>
    <xf numFmtId="0" fontId="26" fillId="8" borderId="17" xfId="0" applyFont="1" applyFill="1" applyBorder="1" applyAlignment="1">
      <alignment horizontal="center"/>
    </xf>
    <xf numFmtId="0" fontId="31" fillId="8" borderId="14" xfId="0" applyFont="1" applyFill="1" applyBorder="1" applyAlignment="1">
      <alignment horizontal="left"/>
    </xf>
    <xf numFmtId="0" fontId="31" fillId="8" borderId="14" xfId="0" applyFont="1" applyFill="1" applyBorder="1" applyAlignment="1">
      <alignment horizontal="center"/>
    </xf>
    <xf numFmtId="0" fontId="26" fillId="8" borderId="14" xfId="0" applyFont="1" applyFill="1" applyBorder="1" applyAlignment="1">
      <alignment horizontal="center"/>
    </xf>
    <xf numFmtId="0" fontId="32" fillId="10" borderId="17" xfId="0" applyFont="1" applyFill="1" applyBorder="1" applyAlignment="1">
      <alignment horizontal="center"/>
    </xf>
    <xf numFmtId="0" fontId="31" fillId="0" borderId="17" xfId="0" applyFont="1" applyBorder="1" applyAlignment="1">
      <alignment horizontal="left"/>
    </xf>
    <xf numFmtId="0" fontId="31" fillId="0" borderId="14" xfId="0" applyFont="1" applyBorder="1" applyAlignment="1">
      <alignment horizontal="left"/>
    </xf>
    <xf numFmtId="0" fontId="31" fillId="0" borderId="14" xfId="0" applyFont="1" applyBorder="1" applyAlignment="1">
      <alignment horizontal="center"/>
    </xf>
    <xf numFmtId="0" fontId="26" fillId="0" borderId="14" xfId="1" applyNumberFormat="1" applyFont="1" applyFill="1" applyBorder="1" applyAlignment="1">
      <alignment horizontal="center"/>
    </xf>
    <xf numFmtId="0" fontId="26" fillId="0" borderId="14" xfId="0" applyFont="1" applyBorder="1" applyAlignment="1">
      <alignment horizontal="left"/>
    </xf>
    <xf numFmtId="0" fontId="32" fillId="0" borderId="14" xfId="0" applyFont="1" applyBorder="1" applyAlignment="1">
      <alignment horizontal="left"/>
    </xf>
    <xf numFmtId="1" fontId="26" fillId="8" borderId="17" xfId="1" applyNumberFormat="1" applyFont="1" applyFill="1" applyBorder="1" applyAlignment="1">
      <alignment horizontal="center"/>
    </xf>
    <xf numFmtId="0" fontId="26" fillId="8" borderId="17" xfId="1" applyNumberFormat="1" applyFont="1" applyFill="1" applyBorder="1" applyAlignment="1">
      <alignment horizontal="center"/>
    </xf>
    <xf numFmtId="0" fontId="26" fillId="8" borderId="17" xfId="0" applyFont="1" applyFill="1" applyBorder="1"/>
    <xf numFmtId="0" fontId="32" fillId="8" borderId="17" xfId="0" applyFont="1" applyFill="1" applyBorder="1" applyAlignment="1">
      <alignment horizontal="left"/>
    </xf>
    <xf numFmtId="0" fontId="26" fillId="0" borderId="17" xfId="1" applyNumberFormat="1" applyFont="1" applyFill="1" applyBorder="1" applyAlignment="1">
      <alignment horizontal="center"/>
    </xf>
    <xf numFmtId="0" fontId="26" fillId="10" borderId="14" xfId="0" applyFont="1" applyFill="1" applyBorder="1" applyAlignment="1">
      <alignment horizontal="left"/>
    </xf>
    <xf numFmtId="1" fontId="26" fillId="0" borderId="14" xfId="0" applyNumberFormat="1" applyFont="1" applyBorder="1" applyAlignment="1">
      <alignment horizontal="center"/>
    </xf>
    <xf numFmtId="1" fontId="26" fillId="10" borderId="14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/>
    </xf>
    <xf numFmtId="0" fontId="30" fillId="0" borderId="8" xfId="0" applyFont="1" applyBorder="1" applyAlignment="1">
      <alignment horizontal="center"/>
    </xf>
    <xf numFmtId="0" fontId="31" fillId="10" borderId="8" xfId="0" applyFont="1" applyFill="1" applyBorder="1" applyAlignment="1">
      <alignment horizontal="left"/>
    </xf>
    <xf numFmtId="0" fontId="26" fillId="10" borderId="8" xfId="0" applyFont="1" applyFill="1" applyBorder="1" applyAlignment="1">
      <alignment horizontal="center"/>
    </xf>
    <xf numFmtId="0" fontId="26" fillId="10" borderId="8" xfId="0" applyFont="1" applyFill="1" applyBorder="1"/>
    <xf numFmtId="0" fontId="26" fillId="10" borderId="8" xfId="0" applyFont="1" applyFill="1" applyBorder="1" applyAlignment="1">
      <alignment horizontal="left"/>
    </xf>
    <xf numFmtId="0" fontId="32" fillId="0" borderId="8" xfId="1" applyNumberFormat="1" applyFont="1" applyFill="1" applyBorder="1" applyAlignment="1">
      <alignment horizontal="center"/>
    </xf>
    <xf numFmtId="0" fontId="6" fillId="0" borderId="8" xfId="0" applyFont="1" applyBorder="1" applyAlignment="1">
      <alignment horizontal="center"/>
    </xf>
    <xf numFmtId="1" fontId="26" fillId="0" borderId="8" xfId="1" applyNumberFormat="1" applyFont="1" applyFill="1" applyBorder="1" applyAlignment="1">
      <alignment horizontal="center"/>
    </xf>
    <xf numFmtId="0" fontId="31" fillId="8" borderId="8" xfId="0" applyFont="1" applyFill="1" applyBorder="1" applyAlignment="1">
      <alignment horizontal="left"/>
    </xf>
    <xf numFmtId="0" fontId="26" fillId="8" borderId="8" xfId="0" applyFont="1" applyFill="1" applyBorder="1" applyAlignment="1">
      <alignment horizontal="center"/>
    </xf>
    <xf numFmtId="0" fontId="32" fillId="10" borderId="8" xfId="1" applyNumberFormat="1" applyFont="1" applyFill="1" applyBorder="1" applyAlignment="1">
      <alignment horizontal="center"/>
    </xf>
    <xf numFmtId="0" fontId="26" fillId="0" borderId="8" xfId="1" applyNumberFormat="1" applyFont="1" applyFill="1" applyBorder="1" applyAlignment="1">
      <alignment horizontal="center"/>
    </xf>
    <xf numFmtId="1" fontId="26" fillId="8" borderId="8" xfId="1" applyNumberFormat="1" applyFont="1" applyFill="1" applyBorder="1" applyAlignment="1">
      <alignment horizontal="center"/>
    </xf>
    <xf numFmtId="0" fontId="26" fillId="8" borderId="8" xfId="1" applyNumberFormat="1" applyFont="1" applyFill="1" applyBorder="1" applyAlignment="1">
      <alignment horizontal="center"/>
    </xf>
    <xf numFmtId="0" fontId="26" fillId="8" borderId="8" xfId="0" applyFont="1" applyFill="1" applyBorder="1"/>
    <xf numFmtId="0" fontId="32" fillId="8" borderId="8" xfId="0" applyFont="1" applyFill="1" applyBorder="1" applyAlignment="1">
      <alignment horizontal="left"/>
    </xf>
    <xf numFmtId="1" fontId="26" fillId="0" borderId="8" xfId="0" applyNumberFormat="1" applyFont="1" applyBorder="1" applyAlignment="1">
      <alignment horizontal="center"/>
    </xf>
    <xf numFmtId="1" fontId="26" fillId="10" borderId="8" xfId="0" applyNumberFormat="1" applyFont="1" applyFill="1" applyBorder="1" applyAlignment="1">
      <alignment horizontal="center"/>
    </xf>
    <xf numFmtId="172" fontId="26" fillId="0" borderId="8" xfId="1" applyNumberFormat="1" applyFont="1" applyFill="1" applyBorder="1"/>
    <xf numFmtId="172" fontId="25" fillId="0" borderId="8" xfId="1" applyNumberFormat="1" applyFont="1" applyBorder="1"/>
    <xf numFmtId="172" fontId="0" fillId="0" borderId="8" xfId="1" applyNumberFormat="1" applyFont="1" applyBorder="1"/>
    <xf numFmtId="172" fontId="0" fillId="0" borderId="8" xfId="1" applyNumberFormat="1" applyFont="1" applyFill="1" applyBorder="1"/>
    <xf numFmtId="172" fontId="26" fillId="0" borderId="8" xfId="0" applyNumberFormat="1" applyFont="1" applyBorder="1" applyAlignment="1">
      <alignment horizontal="left"/>
    </xf>
    <xf numFmtId="173" fontId="26" fillId="0" borderId="8" xfId="0" applyNumberFormat="1" applyFont="1" applyBorder="1" applyAlignment="1">
      <alignment horizontal="left"/>
    </xf>
    <xf numFmtId="173" fontId="26" fillId="0" borderId="8" xfId="1" applyNumberFormat="1" applyFont="1" applyFill="1" applyBorder="1" applyAlignment="1">
      <alignment horizontal="left"/>
    </xf>
    <xf numFmtId="173" fontId="25" fillId="0" borderId="0" xfId="1" applyNumberFormat="1" applyFont="1" applyFill="1" applyBorder="1"/>
    <xf numFmtId="0" fontId="31" fillId="11" borderId="14" xfId="0" applyFont="1" applyFill="1" applyBorder="1" applyAlignment="1">
      <alignment horizontal="left"/>
    </xf>
    <xf numFmtId="0" fontId="32" fillId="11" borderId="14" xfId="0" applyFont="1" applyFill="1" applyBorder="1" applyAlignment="1">
      <alignment horizontal="center"/>
    </xf>
    <xf numFmtId="0" fontId="31" fillId="11" borderId="8" xfId="0" applyFont="1" applyFill="1" applyBorder="1" applyAlignment="1">
      <alignment horizontal="left"/>
    </xf>
    <xf numFmtId="0" fontId="26" fillId="11" borderId="8" xfId="1" applyNumberFormat="1" applyFont="1" applyFill="1" applyBorder="1" applyAlignment="1">
      <alignment horizontal="center"/>
    </xf>
    <xf numFmtId="0" fontId="39" fillId="8" borderId="8" xfId="0" applyFont="1" applyFill="1" applyBorder="1" applyAlignment="1">
      <alignment horizontal="center"/>
    </xf>
    <xf numFmtId="0" fontId="40" fillId="10" borderId="8" xfId="0" applyFont="1" applyFill="1" applyBorder="1" applyAlignment="1">
      <alignment horizontal="center"/>
    </xf>
    <xf numFmtId="0" fontId="38" fillId="0" borderId="0" xfId="0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8" xfId="0" applyFont="1" applyBorder="1" applyAlignment="1">
      <alignment horizontal="center"/>
    </xf>
    <xf numFmtId="0" fontId="36" fillId="0" borderId="8" xfId="0" applyFont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25" fillId="9" borderId="0" xfId="0" applyFont="1" applyFill="1" applyAlignment="1">
      <alignment horizontal="center"/>
    </xf>
    <xf numFmtId="0" fontId="22" fillId="3" borderId="0" xfId="0" applyFont="1" applyFill="1" applyAlignment="1">
      <alignment horizontal="center" vertical="center"/>
    </xf>
    <xf numFmtId="0" fontId="22" fillId="2" borderId="0" xfId="0" applyFont="1" applyFill="1" applyAlignment="1">
      <alignment horizontal="center" vertical="center"/>
    </xf>
    <xf numFmtId="0" fontId="16" fillId="3" borderId="0" xfId="0" applyFont="1" applyFill="1" applyAlignment="1">
      <alignment horizontal="center" vertical="center" textRotation="90" wrapText="1"/>
    </xf>
    <xf numFmtId="20" fontId="12" fillId="3" borderId="0" xfId="0" applyNumberFormat="1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 textRotation="90" wrapText="1"/>
    </xf>
    <xf numFmtId="49" fontId="8" fillId="2" borderId="0" xfId="1" applyNumberFormat="1" applyFont="1" applyFill="1" applyAlignment="1">
      <alignment horizontal="center" vertical="center"/>
    </xf>
    <xf numFmtId="49" fontId="8" fillId="2" borderId="9" xfId="0" applyNumberFormat="1" applyFont="1" applyFill="1" applyBorder="1" applyAlignment="1">
      <alignment horizontal="center" vertical="center"/>
    </xf>
    <xf numFmtId="20" fontId="8" fillId="2" borderId="0" xfId="0" applyNumberFormat="1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49" fontId="12" fillId="3" borderId="9" xfId="0" applyNumberFormat="1" applyFont="1" applyFill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4" fillId="4" borderId="0" xfId="0" applyFont="1" applyFill="1" applyAlignment="1">
      <alignment horizontal="center"/>
    </xf>
    <xf numFmtId="0" fontId="4" fillId="0" borderId="0" xfId="0" applyFont="1" applyAlignment="1">
      <alignment horizontal="center"/>
    </xf>
  </cellXfs>
  <cellStyles count="7">
    <cellStyle name="Millares" xfId="1" builtinId="3"/>
    <cellStyle name="Millares [0]" xfId="5" builtinId="6"/>
    <cellStyle name="Moneda" xfId="3" builtinId="4"/>
    <cellStyle name="Moneda [0]" xfId="6" builtinId="7"/>
    <cellStyle name="Normal" xfId="0" builtinId="0"/>
    <cellStyle name="Normal 2" xfId="2" xr:uid="{DF28723D-F336-4A9C-8C4F-86AEBB9E43CD}"/>
    <cellStyle name="Porcentaje" xfId="4" builtinId="5"/>
  </cellStyles>
  <dxfs count="3">
    <dxf>
      <numFmt numFmtId="169" formatCode="_-&quot;$&quot;\ * #,##0_-;\-&quot;$&quot;\ * #,##0_-;_-&quot;$&quot;\ * &quot;-&quot;??_-;_-@_-"/>
    </dxf>
    <dxf>
      <numFmt numFmtId="171" formatCode="_-* #,##0.00_-;\-* #,##0.00_-;_-* &quot;-&quot;_-;_-@_-"/>
    </dxf>
    <dxf>
      <numFmt numFmtId="171" formatCode="_-* #,##0.00_-;\-* #,##0.00_-;_-* &quot;-&quot;_-;_-@_-"/>
    </dxf>
  </dxfs>
  <tableStyles count="0" defaultTableStyle="TableStyleMedium2" defaultPivotStyle="PivotStyleLight16"/>
  <colors>
    <mruColors>
      <color rgb="FF0033CC"/>
      <color rgb="FF5117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7620</xdr:colOff>
          <xdr:row>4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Actualizar HCPS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0</xdr:rowOff>
        </xdr:from>
        <xdr:to>
          <xdr:col>6</xdr:col>
          <xdr:colOff>7620</xdr:colOff>
          <xdr:row>5</xdr:row>
          <xdr:rowOff>7620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🎲 Abrir Sorteo en Vivo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10732</xdr:colOff>
      <xdr:row>3</xdr:row>
      <xdr:rowOff>10732</xdr:rowOff>
    </xdr:from>
    <xdr:to>
      <xdr:col>2</xdr:col>
      <xdr:colOff>21465</xdr:colOff>
      <xdr:row>4</xdr:row>
      <xdr:rowOff>198549</xdr:rowOff>
    </xdr:to>
    <xdr:sp macro="[0]!GenerarInformeWhatsApp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8BCE0A3-A7A8-40A0-F42B-40AC93DCDAA7}"/>
            </a:ext>
          </a:extLst>
        </xdr:cNvPr>
        <xdr:cNvSpPr/>
      </xdr:nvSpPr>
      <xdr:spPr>
        <a:xfrm>
          <a:off x="520521" y="606380"/>
          <a:ext cx="1330817" cy="38636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/>
            <a:t>Generar Informe </a:t>
          </a:r>
          <a:endParaRPr lang="es-CO" sz="1100"/>
        </a:p>
      </xdr:txBody>
    </xdr:sp>
    <xdr:clientData/>
  </xdr:twoCellAnchor>
  <xdr:twoCellAnchor>
    <xdr:from>
      <xdr:col>7</xdr:col>
      <xdr:colOff>21464</xdr:colOff>
      <xdr:row>5</xdr:row>
      <xdr:rowOff>37564</xdr:rowOff>
    </xdr:from>
    <xdr:to>
      <xdr:col>10</xdr:col>
      <xdr:colOff>10733</xdr:colOff>
      <xdr:row>9</xdr:row>
      <xdr:rowOff>69760</xdr:rowOff>
    </xdr:to>
    <xdr:sp macro="[0]!Abrir_Copa_President" textlink="">
      <xdr:nvSpPr>
        <xdr:cNvPr id="3" name="Elipse 2">
          <a:extLst>
            <a:ext uri="{FF2B5EF4-FFF2-40B4-BE49-F238E27FC236}">
              <a16:creationId xmlns:a16="http://schemas.microsoft.com/office/drawing/2014/main" id="{2C3F08D0-CEC2-98E4-ADB8-534C08711F98}"/>
            </a:ext>
          </a:extLst>
        </xdr:cNvPr>
        <xdr:cNvSpPr/>
      </xdr:nvSpPr>
      <xdr:spPr>
        <a:xfrm>
          <a:off x="7276563" y="1030310"/>
          <a:ext cx="1701085" cy="778098"/>
        </a:xfrm>
        <a:prstGeom prst="ellipse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/>
            <a:t>🏆 Abrir Sorteo Copa President</a:t>
          </a:r>
          <a:endParaRPr lang="es-CO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 LOQ" refreshedDate="46293.745357523148" createdVersion="8" refreshedVersion="8" minRefreshableVersion="3" recordCount="364" xr:uid="{197FD876-C5E8-F243-9A9F-DAA95A306FA5}">
  <cacheSource type="worksheet">
    <worksheetSource name="RESULTADOS"/>
  </cacheSource>
  <cacheFields count="16">
    <cacheField name="Fecha" numFmtId="0">
      <sharedItems containsNonDate="0" containsDate="1" containsString="0" containsBlank="1" minDate="2026-04-25T00:00:00" maxDate="2026-10-03T00:00:00" count="20">
        <m/>
        <d v="2026-04-25T00:00:00"/>
        <d v="2026-05-09T00:00:00"/>
        <d v="2026-05-16T00:00:00"/>
        <d v="2026-05-23T00:00:00"/>
        <d v="2026-05-29T00:00:00"/>
        <d v="2026-06-06T00:00:00"/>
        <d v="2026-06-13T00:00:00"/>
        <d v="2026-06-19T00:00:00"/>
        <d v="2026-06-27T00:00:00"/>
        <d v="2026-07-18T00:00:00"/>
        <d v="2026-07-25T00:00:00"/>
        <d v="2026-08-01T00:00:00"/>
        <d v="2026-08-08T00:00:00"/>
        <d v="2026-08-15T00:00:00"/>
        <d v="2026-08-22T00:00:00"/>
        <d v="2026-08-29T00:00:00"/>
        <d v="2026-09-05T00:00:00"/>
        <d v="2026-09-19T00:00:00"/>
        <d v="2026-10-02T00:00:00"/>
      </sharedItems>
    </cacheField>
    <cacheField name="Codigo" numFmtId="0">
      <sharedItems containsString="0" containsBlank="1" containsNumber="1" containsInteger="1" minValue="351" maxValue="666667" count="67">
        <n v="15107"/>
        <n v="28433"/>
        <n v="16552"/>
        <n v="4080"/>
        <n v="30087"/>
        <n v="8473"/>
        <n v="30572"/>
        <n v="12724"/>
        <n v="24140"/>
        <n v="18908"/>
        <n v="28225"/>
        <n v="21865"/>
        <n v="9530"/>
        <n v="18411"/>
        <n v="16260"/>
        <n v="24283"/>
        <n v="7891"/>
        <n v="27233"/>
        <n v="9446"/>
        <n v="13625"/>
        <n v="22156"/>
        <n v="32142"/>
        <n v="17043"/>
        <n v="19187"/>
        <n v="26953"/>
        <n v="27435"/>
        <n v="31818"/>
        <n v="20941"/>
        <n v="14084"/>
        <n v="3936"/>
        <n v="14715"/>
        <n v="32182"/>
        <n v="30101"/>
        <n v="33116"/>
        <n v="28528"/>
        <n v="31833"/>
        <n v="33476"/>
        <n v="14824"/>
        <n v="22617"/>
        <n v="2193"/>
        <n v="34722"/>
        <n v="12531"/>
        <n v="2329"/>
        <n v="18861"/>
        <n v="1396"/>
        <n v="351"/>
        <n v="17697"/>
        <n v="20886"/>
        <n v="666666"/>
        <n v="666667"/>
        <m/>
        <n v="17558"/>
        <n v="33318"/>
        <n v="30377"/>
        <n v="27280"/>
        <n v="16501"/>
        <n v="38600"/>
        <n v="25160"/>
        <n v="30376"/>
        <n v="34332"/>
        <n v="37787"/>
        <n v="20408"/>
        <n v="32313"/>
        <n v="3616"/>
        <n v="27116"/>
        <n v="33424"/>
        <n v="24768"/>
      </sharedItems>
    </cacheField>
    <cacheField name="Apellidos" numFmtId="0">
      <sharedItems containsBlank="1" count="68">
        <s v="Bautista Ramirez"/>
        <s v="Vargas Caceres"/>
        <s v="Silva Perez"/>
        <s v="Giatsidakis Olivares"/>
        <s v="Florez Serrano"/>
        <s v="Perez Guarnizo"/>
        <s v="Mancera Basto"/>
        <s v="Peñaranda Canal "/>
        <s v="Vargas Cuberos"/>
        <s v="Ardila Meneses"/>
        <s v="Moreno Vera"/>
        <s v="Cely Soler"/>
        <s v="Rivera Parada "/>
        <s v="Angarita Suarez"/>
        <s v="Pulecio Franco"/>
        <s v="Rivera Rozo"/>
        <s v="Ortega Meneses"/>
        <s v="Rangel Vera"/>
        <s v="Rincon Ramirez"/>
        <s v="Moros Quintero"/>
        <s v="Zerpa Albarran"/>
        <s v="Contreras Gamboa"/>
        <s v="Santos Padilla"/>
        <s v="Morelli Perez"/>
        <s v="Galavis Correa"/>
        <s v="Schloeter Rebolledo"/>
        <s v="Rugeles Parra"/>
        <s v="Parra Gomez"/>
        <s v="Garcia Herreros"/>
        <s v="Rubiano Perez"/>
        <s v="Landazabal Molina"/>
        <s v="Suarez Castrillón"/>
        <s v="Llanes Gomez"/>
        <s v="Gutierrez Barrera"/>
        <s v="Florez Rodriguez"/>
        <s v="Lara Mora"/>
        <s v="Yañez Arellano"/>
        <s v="Sanchez Reyes"/>
        <s v="Celis Vergel"/>
        <s v="Yañez Toro"/>
        <s v="Yañez Ariza"/>
        <s v="Colmenares Rey"/>
        <s v="Alvarado Rodriguez"/>
        <s v="Botello Garavito"/>
        <s v="Giatsidakis Haddad"/>
        <s v="Diaz Contreras"/>
        <s v="Paez"/>
        <s v="Monsalve"/>
        <s v="fuentes"/>
        <s v="Goyeneche Montoya"/>
        <s v="Monroy Delgado"/>
        <s v="Carrillo Sepulveda"/>
        <s v="Porras Liendo"/>
        <s v="Peñaranda Gomez"/>
        <s v="Peñaranda Arango"/>
        <s v="Ardila Reyes"/>
        <s v="Ballesteros Castellanos"/>
        <s v="Mantilla Duran"/>
        <s v="Ramirez Vasquez"/>
        <s v="Robledo Assaf"/>
        <s v="Franco Rueda"/>
        <s v="Vargas Gonzalez"/>
        <s v="Gutierrez Beltran"/>
        <s v="Consuegra Morales"/>
        <s v="Carvajal Franklin"/>
        <m/>
        <s v="Fausto Ardila"/>
        <s v="Beto Carvajal "/>
      </sharedItems>
    </cacheField>
    <cacheField name="Nombre" numFmtId="0">
      <sharedItems containsBlank="1" count="62">
        <s v="Jairo Jose"/>
        <s v="Elias Jesus"/>
        <s v="Jose Gustavo"/>
        <s v="Juan Carlos"/>
        <s v="Elkin Gregorio"/>
        <s v="Guillermo"/>
        <s v="Edulfo Antonio"/>
        <s v="Miguel Enrique"/>
        <s v="Jorge"/>
        <s v="Carlos Augusto"/>
        <s v="Edgar Fernando"/>
        <s v="Libardo Del Carmen"/>
        <s v="Tulio Enrique"/>
        <s v="Luis Fernando"/>
        <s v="Jairo Hernando"/>
        <s v="Rodolfo Antonio"/>
        <s v="Roberto"/>
        <s v="Jaime"/>
        <s v="Jose Oswaldo"/>
        <s v="Luis Alberto"/>
        <s v="Alberto"/>
        <s v="Edgardo Jose"/>
        <s v="Jose Luis"/>
        <s v="Alvaro Enrique"/>
        <s v="Sergio Andres"/>
        <s v="Johann Karl"/>
        <s v="Henry"/>
        <s v="Luis Eduardo"/>
        <s v=" DuplatMiguel"/>
        <s v="Laura Nadmiye"/>
        <s v="Sergio Alfonso"/>
        <s v="Fabio Orlando"/>
        <s v="Juan pablo"/>
        <s v="Juan Diego"/>
        <s v="Alexander"/>
        <s v="Oscar"/>
        <s v="Gladys Edelmira"/>
        <s v="Emilio"/>
        <s v="Diego"/>
        <s v="Julian"/>
        <s v="Lina Maria"/>
        <s v="Samuel"/>
        <s v="Juan Sebastian"/>
        <s v="Jairo"/>
        <s v="Juan Camilo"/>
        <m/>
        <s v="gonzalo"/>
        <s v="Carlos  "/>
        <s v="Alejandro"/>
        <s v="DuplatMiguel"/>
        <s v="Victor Manuel"/>
        <s v="Eliana Marcela"/>
        <s v="Delmer"/>
        <s v="Kelly Johanna"/>
        <s v="Miguel Fabian"/>
        <s v="Jorge Eliecer"/>
        <s v="Cesar Eduardo"/>
        <s v="Zulma Janeth"/>
        <s v="Cesar Augusto"/>
        <s v="Robiel Amed"/>
        <s v="Wilson"/>
        <s v="Carlos A."/>
      </sharedItems>
    </cacheField>
    <cacheField name="Index" numFmtId="0">
      <sharedItems containsBlank="1" containsMixedTypes="1" containsNumber="1" minValue="8.1999999999999993" maxValue="29.8"/>
    </cacheField>
    <cacheField name="Salida" numFmtId="0">
      <sharedItems containsBlank="1"/>
    </cacheField>
    <cacheField name="Hand." numFmtId="0">
      <sharedItems containsBlank="1" containsMixedTypes="1" containsNumber="1" containsInteger="1" minValue="8" maxValue="32"/>
    </cacheField>
    <cacheField name="Observaciones" numFmtId="0">
      <sharedItems containsNonDate="0" containsBlank="1" count="5">
        <m/>
        <s v="Colproyectos" u="1"/>
        <s v="Pretemporada" u="1"/>
        <s v="Hospiclinic" u="1"/>
        <s v="Legalite" u="1"/>
      </sharedItems>
    </cacheField>
    <cacheField name="Gross" numFmtId="0">
      <sharedItems containsString="0" containsBlank="1" containsNumber="1" containsInteger="1" minValue="74" maxValue="117"/>
    </cacheField>
    <cacheField name="Neto" numFmtId="0">
      <sharedItems containsString="0" containsBlank="1" containsNumber="1" containsInteger="1" minValue="64" maxValue="96"/>
    </cacheField>
    <cacheField name="Tee Time" numFmtId="0">
      <sharedItems containsString="0" containsBlank="1" containsNumber="1" containsInteger="1" minValue="1" maxValue="10" count="7">
        <n v="5"/>
        <n v="4"/>
        <m/>
        <n v="3"/>
        <n v="2"/>
        <n v="1"/>
        <n v="10"/>
      </sharedItems>
    </cacheField>
    <cacheField name="Puntos" numFmtId="0">
      <sharedItems containsString="0" containsBlank="1" containsNumber="1" containsInteger="1" minValue="30" maxValue="935"/>
    </cacheField>
    <cacheField name="Premio" numFmtId="0">
      <sharedItems containsString="0" containsBlank="1" containsNumber="1" minValue="0" maxValue="1032000" count="51">
        <n v="1032000"/>
        <n v="300000"/>
        <n v="410000"/>
        <n v="277000"/>
        <n v="270000"/>
        <n v="340000"/>
        <m/>
        <n v="330000"/>
        <n v="620000"/>
        <n v="807000"/>
        <n v="200000"/>
        <n v="160000"/>
        <n v="100000"/>
        <n v="580000"/>
        <n v="80000"/>
        <n v="120000"/>
        <n v="430000"/>
        <n v="420000"/>
        <n v="667000"/>
        <n v="480000"/>
        <n v="390000"/>
        <n v="310000"/>
        <n v="380000"/>
        <n v="60000"/>
        <n v="167000"/>
        <n v="130000"/>
        <n v="30000"/>
        <n v="85000"/>
        <n v="180000"/>
        <n v="110000"/>
        <n v="140000"/>
        <n v="50000"/>
        <n v="220000"/>
        <n v="170000"/>
        <n v="190000"/>
        <n v="35000"/>
        <n v="90000"/>
        <n v="150000"/>
        <n v="45000"/>
        <n v="0" u="1"/>
        <n v="75000" u="1"/>
        <n v="175000" u="1"/>
        <n v="105000" u="1"/>
        <n v="20000" u="1"/>
        <n v="210000" u="1"/>
        <n v="70000" u="1"/>
        <n v="230000" u="1"/>
        <n v="123334.33333333333" u="1"/>
        <n v="123333" u="1"/>
        <n v="205000" u="1"/>
        <n v="185000" u="1"/>
      </sharedItems>
    </cacheField>
    <cacheField name="Asistencia" numFmtId="0">
      <sharedItems containsString="0" containsBlank="1" containsNumber="1" containsInteger="1" minValue="1" maxValue="11"/>
    </cacheField>
    <cacheField name="CONCEPTO" numFmtId="169">
      <sharedItems containsNonDate="0" containsString="0" containsBlank="1" containsNumber="1" containsInteger="1" minValue="35000" maxValue="160000" count="4">
        <m/>
        <n v="35000" u="1"/>
        <n v="90000" u="1"/>
        <n v="160000" u="1"/>
      </sharedItems>
    </cacheField>
    <cacheField name="Recaudo" numFmtId="169">
      <sharedItems containsString="0" containsBlank="1" containsNumber="1" containsInteger="1" minValue="70000" maxValue="2050000" count="20">
        <m/>
        <n v="2050000"/>
        <n v="250000"/>
        <n v="180000"/>
        <n v="100000"/>
        <n v="140000"/>
        <n v="170000"/>
        <n v="110000"/>
        <n v="150000"/>
        <n v="120000"/>
        <n v="70000"/>
        <n v="200000" u="1"/>
        <n v="270000" u="1"/>
        <n v="1780000" u="1"/>
        <n v="220000" u="1"/>
        <n v="320000" u="1"/>
        <n v="240000" u="1"/>
        <n v="480000" u="1"/>
        <n v="260000" u="1"/>
        <n v="30000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 LOQ" refreshedDate="46293.745359606481" createdVersion="8" refreshedVersion="8" minRefreshableVersion="3" recordCount="24" xr:uid="{3B6148C5-109E-3047-A25C-10986EA76BC4}">
  <cacheSource type="worksheet">
    <worksheetSource ref="A1:F25" sheet="Hoja1"/>
  </cacheSource>
  <cacheFields count="6">
    <cacheField name="JUGADOR" numFmtId="0">
      <sharedItems count="8">
        <s v="ELKIN FLOREZ"/>
        <s v="CARLOS CELIS"/>
        <s v="SERGIO LANDAZABAL"/>
        <s v="ALVARO MORELLI"/>
        <s v="SEBASTIAN MORELLI"/>
        <s v="RODOLFO RIVERA"/>
        <s v="JAIRO PULECIO"/>
        <s v="JOSUE ROBAYO"/>
      </sharedItems>
    </cacheField>
    <cacheField name="H" numFmtId="0">
      <sharedItems containsSemiMixedTypes="0" containsString="0" containsNumber="1" containsInteger="1" minValue="12" maxValue="38"/>
    </cacheField>
    <cacheField name="GROSS" numFmtId="0">
      <sharedItems containsSemiMixedTypes="0" containsString="0" containsNumber="1" containsInteger="1" minValue="0" maxValue="141"/>
    </cacheField>
    <cacheField name="NETO" numFmtId="0">
      <sharedItems containsSemiMixedTypes="0" containsString="0" containsNumber="1" containsInteger="1" minValue="65" maxValue="103"/>
    </cacheField>
    <cacheField name="CAMPO" numFmtId="0">
      <sharedItems/>
    </cacheField>
    <cacheField name="PREMIO" numFmtId="0">
      <sharedItems containsString="0" containsBlank="1" containsNumber="1" containsInteger="1" minValue="-40" maxValue="1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 LOQ" refreshedDate="46293.745359606481" createdVersion="8" refreshedVersion="8" minRefreshableVersion="3" recordCount="357" xr:uid="{3D4C92DF-265A-4B4A-A366-1AA03934B337}">
  <cacheSource type="worksheet">
    <worksheetSource ref="A1:P355" sheet="Resultados"/>
  </cacheSource>
  <cacheFields count="16">
    <cacheField name="Fecha" numFmtId="0">
      <sharedItems containsNonDate="0" containsDate="1" containsString="0" containsBlank="1" minDate="2026-04-25T00:00:00" maxDate="2026-10-03T00:00:00" count="20">
        <m/>
        <d v="2026-04-25T00:00:00"/>
        <d v="2026-05-09T00:00:00"/>
        <d v="2026-05-16T00:00:00"/>
        <d v="2026-05-23T00:00:00"/>
        <d v="2026-05-29T00:00:00"/>
        <d v="2026-06-06T00:00:00"/>
        <d v="2026-06-13T00:00:00"/>
        <d v="2026-06-19T00:00:00"/>
        <d v="2026-06-27T00:00:00"/>
        <d v="2026-07-18T00:00:00"/>
        <d v="2026-07-25T00:00:00"/>
        <d v="2026-08-01T00:00:00"/>
        <d v="2026-08-08T00:00:00"/>
        <d v="2026-08-15T00:00:00"/>
        <d v="2026-08-22T00:00:00"/>
        <d v="2026-08-29T00:00:00"/>
        <d v="2026-09-05T00:00:00"/>
        <d v="2026-09-19T00:00:00"/>
        <d v="2026-10-02T00:00:00"/>
      </sharedItems>
    </cacheField>
    <cacheField name="Codigo" numFmtId="0">
      <sharedItems containsString="0" containsBlank="1" containsNumber="1" containsInteger="1" minValue="351" maxValue="666667" count="67">
        <n v="15107"/>
        <n v="28433"/>
        <n v="16552"/>
        <n v="4080"/>
        <n v="30087"/>
        <n v="8473"/>
        <n v="30572"/>
        <n v="12724"/>
        <n v="24140"/>
        <n v="18908"/>
        <n v="28225"/>
        <n v="21865"/>
        <n v="9530"/>
        <n v="18411"/>
        <n v="16260"/>
        <n v="24283"/>
        <n v="7891"/>
        <n v="27233"/>
        <n v="9446"/>
        <n v="13625"/>
        <n v="22156"/>
        <n v="32142"/>
        <n v="17043"/>
        <n v="19187"/>
        <n v="26953"/>
        <n v="27435"/>
        <n v="31818"/>
        <n v="20941"/>
        <n v="14084"/>
        <n v="3936"/>
        <n v="14715"/>
        <n v="32182"/>
        <n v="30101"/>
        <n v="33116"/>
        <n v="28528"/>
        <n v="31833"/>
        <n v="33476"/>
        <n v="14824"/>
        <n v="22617"/>
        <n v="2193"/>
        <n v="34722"/>
        <n v="12531"/>
        <n v="2329"/>
        <n v="18861"/>
        <n v="1396"/>
        <n v="351"/>
        <n v="17697"/>
        <n v="20886"/>
        <n v="666666"/>
        <n v="666667"/>
        <m/>
        <n v="17558"/>
        <n v="33318"/>
        <n v="30377"/>
        <n v="27280"/>
        <n v="16501"/>
        <n v="38600"/>
        <n v="25160"/>
        <n v="30376"/>
        <n v="34332"/>
        <n v="37787"/>
        <n v="20408"/>
        <n v="32313"/>
        <n v="3616"/>
        <n v="27116"/>
        <n v="33424"/>
        <n v="24768"/>
      </sharedItems>
    </cacheField>
    <cacheField name="Apellidos" numFmtId="0">
      <sharedItems containsBlank="1" count="68">
        <s v="Bautista Ramirez"/>
        <s v="Vargas Caceres"/>
        <s v="Silva Perez"/>
        <s v="Giatsidakis Olivares"/>
        <s v="Florez Serrano"/>
        <s v="Perez Guarnizo"/>
        <s v="Mancera Basto"/>
        <s v="Peñaranda Canal "/>
        <s v="Vargas Cuberos"/>
        <s v="Ardila Meneses"/>
        <s v="Moreno Vera"/>
        <s v="Cely Soler"/>
        <s v="Rivera Parada "/>
        <s v="Angarita Suarez"/>
        <s v="Pulecio Franco"/>
        <s v="Rivera Rozo"/>
        <s v="Ortega Meneses"/>
        <s v="Rangel Vera"/>
        <s v="Rincon Ramirez"/>
        <s v="Moros Quintero"/>
        <s v="Zerpa Albarran"/>
        <s v="Contreras Gamboa"/>
        <s v="Santos Padilla"/>
        <s v="Morelli Perez"/>
        <s v="Galavis Correa"/>
        <s v="Schloeter Rebolledo"/>
        <s v="Rugeles Parra"/>
        <s v="Parra Gomez"/>
        <s v="Garcia Herreros"/>
        <s v="Rubiano Perez"/>
        <s v="Landazabal Molina"/>
        <s v="Suarez Castrillón"/>
        <s v="Llanes Gomez"/>
        <s v="Gutierrez Barrera"/>
        <s v="Florez Rodriguez"/>
        <s v="Lara Mora"/>
        <s v="Yañez Arellano"/>
        <s v="Sanchez Reyes"/>
        <s v="Celis Vergel"/>
        <s v="Yañez Toro"/>
        <s v="Yañez Ariza"/>
        <s v="Colmenares Rey"/>
        <s v="Alvarado Rodriguez"/>
        <s v="Botello Garavito"/>
        <s v="Giatsidakis Haddad"/>
        <s v="Diaz Contreras"/>
        <s v="Paez"/>
        <s v="Monsalve"/>
        <s v="fuentes"/>
        <s v="Goyeneche Montoya"/>
        <s v="Monroy Delgado"/>
        <s v="Carrillo Sepulveda"/>
        <s v="Porras Liendo"/>
        <s v="Peñaranda Gomez"/>
        <s v="Peñaranda Arango"/>
        <s v="Ardila Reyes"/>
        <s v="Ballesteros Castellanos"/>
        <s v="Mantilla Duran"/>
        <s v="Ramirez Vasquez"/>
        <s v="Robledo Assaf"/>
        <s v="Franco Rueda"/>
        <s v="Vargas Gonzalez"/>
        <s v="Gutierrez Beltran"/>
        <s v="Consuegra Morales"/>
        <s v="Carvajal Franklin"/>
        <m/>
        <s v="Fausto Ardila"/>
        <s v="Beto Carvajal "/>
      </sharedItems>
    </cacheField>
    <cacheField name="Nombre" numFmtId="0">
      <sharedItems containsBlank="1" count="62">
        <s v="Jairo Jose"/>
        <s v="Elias Jesus"/>
        <s v="Jose Gustavo"/>
        <s v="Juan Carlos"/>
        <s v="Elkin Gregorio"/>
        <s v="Guillermo"/>
        <s v="Edulfo Antonio"/>
        <s v="Miguel Enrique"/>
        <s v="Jorge"/>
        <s v="Carlos Augusto"/>
        <s v="Edgar Fernando"/>
        <s v="Libardo Del Carmen"/>
        <s v="Tulio Enrique"/>
        <s v="Luis Fernando"/>
        <s v="Jairo Hernando"/>
        <s v="Rodolfo Antonio"/>
        <s v="Roberto"/>
        <s v="Jaime"/>
        <s v="Jose Oswaldo"/>
        <s v="Luis Alberto"/>
        <s v="Alberto"/>
        <s v="Edgardo Jose"/>
        <s v="Jose Luis"/>
        <s v="Alvaro Enrique"/>
        <s v="Sergio Andres"/>
        <s v="Johann Karl"/>
        <s v="Henry"/>
        <s v="Luis Eduardo"/>
        <s v=" DuplatMiguel"/>
        <s v="Laura Nadmiye"/>
        <s v="Sergio Alfonso"/>
        <s v="Fabio Orlando"/>
        <s v="Juan pablo"/>
        <s v="Juan Diego"/>
        <s v="Alexander"/>
        <s v="Oscar"/>
        <s v="Gladys Edelmira"/>
        <s v="Emilio"/>
        <s v="Diego"/>
        <s v="Julian"/>
        <s v="Lina Maria"/>
        <s v="Samuel"/>
        <s v="Juan Sebastian"/>
        <s v="Jairo"/>
        <s v="Juan Camilo"/>
        <m/>
        <s v="gonzalo"/>
        <s v="Carlos  "/>
        <s v="Alejandro"/>
        <s v="DuplatMiguel"/>
        <s v="Victor Manuel"/>
        <s v="Eliana Marcela"/>
        <s v="Delmer"/>
        <s v="Kelly Johanna"/>
        <s v="Miguel Fabian"/>
        <s v="Jorge Eliecer"/>
        <s v="Cesar Eduardo"/>
        <s v="Zulma Janeth"/>
        <s v="Cesar Augusto"/>
        <s v="Robiel Amed"/>
        <s v="Wilson"/>
        <s v="Carlos A."/>
      </sharedItems>
    </cacheField>
    <cacheField name="Index" numFmtId="0">
      <sharedItems containsBlank="1" containsMixedTypes="1" containsNumber="1" minValue="8.1999999999999993" maxValue="29.8"/>
    </cacheField>
    <cacheField name="Salida" numFmtId="0">
      <sharedItems containsBlank="1"/>
    </cacheField>
    <cacheField name="Hand." numFmtId="0">
      <sharedItems containsBlank="1" containsMixedTypes="1" containsNumber="1" containsInteger="1" minValue="8" maxValue="32"/>
    </cacheField>
    <cacheField name="Observaciones" numFmtId="0">
      <sharedItems containsNonDate="0" containsString="0" containsBlank="1"/>
    </cacheField>
    <cacheField name="Gross" numFmtId="0">
      <sharedItems containsString="0" containsBlank="1" containsNumber="1" containsInteger="1" minValue="74" maxValue="117" count="39">
        <m/>
        <n v="95"/>
        <n v="99"/>
        <n v="87"/>
        <n v="93"/>
        <n v="98"/>
        <n v="92"/>
        <n v="108"/>
        <n v="85"/>
        <n v="106"/>
        <n v="88"/>
        <n v="90"/>
        <n v="113"/>
        <n v="103"/>
        <n v="86"/>
        <n v="89"/>
        <n v="96"/>
        <n v="91"/>
        <n v="83"/>
        <n v="104"/>
        <n v="77"/>
        <n v="110"/>
        <n v="102"/>
        <n v="81"/>
        <n v="107"/>
        <n v="105"/>
        <n v="79"/>
        <n v="82"/>
        <n v="97"/>
        <n v="94"/>
        <n v="84"/>
        <n v="117"/>
        <n v="80"/>
        <n v="100"/>
        <n v="78"/>
        <n v="114"/>
        <n v="101"/>
        <n v="74"/>
        <n v="111"/>
      </sharedItems>
    </cacheField>
    <cacheField name="Neto" numFmtId="0">
      <sharedItems containsString="0" containsBlank="1" containsNumber="1" containsInteger="1" minValue="64" maxValue="96" count="30">
        <m/>
        <n v="69"/>
        <n v="75"/>
        <n v="70"/>
        <n v="71"/>
        <n v="73"/>
        <n v="76"/>
        <n v="82"/>
        <n v="81"/>
        <n v="67"/>
        <n v="79"/>
        <n v="74"/>
        <n v="78"/>
        <n v="68"/>
        <n v="84"/>
        <n v="77"/>
        <n v="80"/>
        <n v="88"/>
        <n v="89"/>
        <n v="72"/>
        <n v="66"/>
        <n v="65"/>
        <n v="94"/>
        <n v="85"/>
        <n v="87"/>
        <n v="90"/>
        <n v="64"/>
        <n v="86"/>
        <n v="83"/>
        <n v="96"/>
      </sharedItems>
    </cacheField>
    <cacheField name="Tee Time" numFmtId="0">
      <sharedItems containsString="0" containsBlank="1" containsNumber="1" containsInteger="1" minValue="1" maxValue="10"/>
    </cacheField>
    <cacheField name="Puntos" numFmtId="0">
      <sharedItems containsString="0" containsBlank="1" containsNumber="1" containsInteger="1" minValue="30" maxValue="935"/>
    </cacheField>
    <cacheField name="Premio" numFmtId="0">
      <sharedItems containsString="0" containsBlank="1" containsNumber="1" containsInteger="1" minValue="30000" maxValue="1032000"/>
    </cacheField>
    <cacheField name="Asistencia" numFmtId="0">
      <sharedItems containsString="0" containsBlank="1" containsNumber="1" containsInteger="1" minValue="1" maxValue="11"/>
    </cacheField>
    <cacheField name="CONCEPTO" numFmtId="169">
      <sharedItems containsNonDate="0" containsString="0" containsBlank="1"/>
    </cacheField>
    <cacheField name="Recaudo" numFmtId="169">
      <sharedItems containsString="0" containsBlank="1" containsNumber="1" containsInteger="1" minValue="70000" maxValue="20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4">
  <r>
    <x v="0"/>
    <x v="0"/>
    <x v="0"/>
    <x v="0"/>
    <m/>
    <m/>
    <m/>
    <x v="0"/>
    <m/>
    <m/>
    <x v="0"/>
    <n v="935"/>
    <x v="0"/>
    <n v="11"/>
    <x v="0"/>
    <x v="0"/>
  </r>
  <r>
    <x v="0"/>
    <x v="1"/>
    <x v="1"/>
    <x v="1"/>
    <m/>
    <m/>
    <m/>
    <x v="0"/>
    <m/>
    <m/>
    <x v="1"/>
    <n v="800"/>
    <x v="1"/>
    <n v="9"/>
    <x v="0"/>
    <x v="0"/>
  </r>
  <r>
    <x v="0"/>
    <x v="2"/>
    <x v="2"/>
    <x v="2"/>
    <m/>
    <m/>
    <m/>
    <x v="0"/>
    <m/>
    <m/>
    <x v="2"/>
    <n v="750"/>
    <x v="2"/>
    <n v="10"/>
    <x v="0"/>
    <x v="0"/>
  </r>
  <r>
    <x v="1"/>
    <x v="3"/>
    <x v="3"/>
    <x v="3"/>
    <m/>
    <m/>
    <m/>
    <x v="0"/>
    <m/>
    <m/>
    <x v="3"/>
    <n v="710"/>
    <x v="3"/>
    <n v="10"/>
    <x v="0"/>
    <x v="0"/>
  </r>
  <r>
    <x v="0"/>
    <x v="4"/>
    <x v="4"/>
    <x v="4"/>
    <m/>
    <m/>
    <m/>
    <x v="0"/>
    <m/>
    <m/>
    <x v="1"/>
    <n v="760"/>
    <x v="4"/>
    <n v="9"/>
    <x v="0"/>
    <x v="0"/>
  </r>
  <r>
    <x v="0"/>
    <x v="5"/>
    <x v="5"/>
    <x v="5"/>
    <m/>
    <m/>
    <m/>
    <x v="0"/>
    <m/>
    <m/>
    <x v="2"/>
    <n v="725"/>
    <x v="5"/>
    <n v="11"/>
    <x v="0"/>
    <x v="0"/>
  </r>
  <r>
    <x v="0"/>
    <x v="6"/>
    <x v="6"/>
    <x v="6"/>
    <m/>
    <m/>
    <m/>
    <x v="0"/>
    <m/>
    <m/>
    <x v="2"/>
    <n v="670"/>
    <x v="6"/>
    <n v="8"/>
    <x v="0"/>
    <x v="0"/>
  </r>
  <r>
    <x v="0"/>
    <x v="7"/>
    <x v="7"/>
    <x v="7"/>
    <m/>
    <m/>
    <m/>
    <x v="0"/>
    <m/>
    <m/>
    <x v="2"/>
    <n v="750"/>
    <x v="7"/>
    <n v="10"/>
    <x v="0"/>
    <x v="0"/>
  </r>
  <r>
    <x v="0"/>
    <x v="8"/>
    <x v="8"/>
    <x v="8"/>
    <m/>
    <m/>
    <m/>
    <x v="0"/>
    <m/>
    <m/>
    <x v="2"/>
    <n v="735"/>
    <x v="8"/>
    <n v="10"/>
    <x v="0"/>
    <x v="0"/>
  </r>
  <r>
    <x v="0"/>
    <x v="9"/>
    <x v="9"/>
    <x v="9"/>
    <m/>
    <m/>
    <m/>
    <x v="0"/>
    <m/>
    <m/>
    <x v="4"/>
    <n v="655"/>
    <x v="9"/>
    <n v="8"/>
    <x v="0"/>
    <x v="0"/>
  </r>
  <r>
    <x v="0"/>
    <x v="10"/>
    <x v="10"/>
    <x v="10"/>
    <m/>
    <m/>
    <m/>
    <x v="0"/>
    <m/>
    <m/>
    <x v="2"/>
    <n v="620"/>
    <x v="10"/>
    <n v="6"/>
    <x v="0"/>
    <x v="0"/>
  </r>
  <r>
    <x v="0"/>
    <x v="11"/>
    <x v="11"/>
    <x v="11"/>
    <m/>
    <m/>
    <m/>
    <x v="0"/>
    <m/>
    <m/>
    <x v="0"/>
    <n v="670"/>
    <x v="11"/>
    <n v="10"/>
    <x v="0"/>
    <x v="0"/>
  </r>
  <r>
    <x v="0"/>
    <x v="12"/>
    <x v="12"/>
    <x v="12"/>
    <m/>
    <m/>
    <m/>
    <x v="0"/>
    <m/>
    <m/>
    <x v="2"/>
    <n v="675"/>
    <x v="12"/>
    <n v="8"/>
    <x v="0"/>
    <x v="0"/>
  </r>
  <r>
    <x v="0"/>
    <x v="13"/>
    <x v="13"/>
    <x v="13"/>
    <m/>
    <m/>
    <m/>
    <x v="0"/>
    <m/>
    <m/>
    <x v="1"/>
    <n v="605"/>
    <x v="2"/>
    <n v="9"/>
    <x v="0"/>
    <x v="0"/>
  </r>
  <r>
    <x v="0"/>
    <x v="14"/>
    <x v="14"/>
    <x v="14"/>
    <m/>
    <m/>
    <m/>
    <x v="0"/>
    <m/>
    <m/>
    <x v="0"/>
    <n v="655"/>
    <x v="13"/>
    <n v="7"/>
    <x v="0"/>
    <x v="1"/>
  </r>
  <r>
    <x v="0"/>
    <x v="15"/>
    <x v="15"/>
    <x v="15"/>
    <m/>
    <m/>
    <m/>
    <x v="0"/>
    <m/>
    <m/>
    <x v="5"/>
    <n v="620"/>
    <x v="14"/>
    <n v="9"/>
    <x v="0"/>
    <x v="0"/>
  </r>
  <r>
    <x v="0"/>
    <x v="16"/>
    <x v="16"/>
    <x v="16"/>
    <m/>
    <m/>
    <m/>
    <x v="0"/>
    <m/>
    <m/>
    <x v="2"/>
    <n v="575"/>
    <x v="15"/>
    <n v="6"/>
    <x v="0"/>
    <x v="0"/>
  </r>
  <r>
    <x v="0"/>
    <x v="17"/>
    <x v="17"/>
    <x v="17"/>
    <m/>
    <m/>
    <m/>
    <x v="0"/>
    <m/>
    <m/>
    <x v="2"/>
    <n v="560"/>
    <x v="16"/>
    <n v="8"/>
    <x v="0"/>
    <x v="0"/>
  </r>
  <r>
    <x v="0"/>
    <x v="18"/>
    <x v="18"/>
    <x v="18"/>
    <m/>
    <m/>
    <m/>
    <x v="0"/>
    <m/>
    <m/>
    <x v="2"/>
    <n v="545"/>
    <x v="17"/>
    <n v="7"/>
    <x v="0"/>
    <x v="0"/>
  </r>
  <r>
    <x v="0"/>
    <x v="19"/>
    <x v="10"/>
    <x v="19"/>
    <m/>
    <m/>
    <m/>
    <x v="0"/>
    <m/>
    <m/>
    <x v="2"/>
    <n v="445"/>
    <x v="18"/>
    <n v="4"/>
    <x v="0"/>
    <x v="0"/>
  </r>
  <r>
    <x v="0"/>
    <x v="20"/>
    <x v="19"/>
    <x v="20"/>
    <m/>
    <m/>
    <m/>
    <x v="0"/>
    <m/>
    <m/>
    <x v="2"/>
    <n v="430"/>
    <x v="15"/>
    <n v="8"/>
    <x v="0"/>
    <x v="0"/>
  </r>
  <r>
    <x v="0"/>
    <x v="21"/>
    <x v="20"/>
    <x v="21"/>
    <m/>
    <m/>
    <m/>
    <x v="0"/>
    <m/>
    <m/>
    <x v="2"/>
    <n v="475"/>
    <x v="19"/>
    <n v="5"/>
    <x v="0"/>
    <x v="0"/>
  </r>
  <r>
    <x v="0"/>
    <x v="22"/>
    <x v="21"/>
    <x v="8"/>
    <m/>
    <m/>
    <m/>
    <x v="0"/>
    <m/>
    <m/>
    <x v="2"/>
    <n v="400"/>
    <x v="4"/>
    <n v="7"/>
    <x v="0"/>
    <x v="0"/>
  </r>
  <r>
    <x v="0"/>
    <x v="23"/>
    <x v="22"/>
    <x v="22"/>
    <m/>
    <m/>
    <m/>
    <x v="0"/>
    <m/>
    <m/>
    <x v="2"/>
    <n v="395"/>
    <x v="20"/>
    <n v="5"/>
    <x v="0"/>
    <x v="0"/>
  </r>
  <r>
    <x v="0"/>
    <x v="24"/>
    <x v="23"/>
    <x v="23"/>
    <m/>
    <m/>
    <m/>
    <x v="0"/>
    <m/>
    <m/>
    <x v="2"/>
    <n v="485"/>
    <x v="2"/>
    <n v="8"/>
    <x v="0"/>
    <x v="0"/>
  </r>
  <r>
    <x v="0"/>
    <x v="25"/>
    <x v="24"/>
    <x v="24"/>
    <m/>
    <m/>
    <m/>
    <x v="0"/>
    <m/>
    <m/>
    <x v="5"/>
    <n v="420"/>
    <x v="5"/>
    <n v="5"/>
    <x v="0"/>
    <x v="0"/>
  </r>
  <r>
    <x v="0"/>
    <x v="26"/>
    <x v="25"/>
    <x v="25"/>
    <m/>
    <m/>
    <m/>
    <x v="0"/>
    <m/>
    <m/>
    <x v="4"/>
    <n v="285"/>
    <x v="21"/>
    <n v="4"/>
    <x v="0"/>
    <x v="0"/>
  </r>
  <r>
    <x v="0"/>
    <x v="27"/>
    <x v="26"/>
    <x v="26"/>
    <m/>
    <m/>
    <m/>
    <x v="0"/>
    <m/>
    <m/>
    <x v="2"/>
    <n v="255"/>
    <x v="22"/>
    <n v="4"/>
    <x v="0"/>
    <x v="0"/>
  </r>
  <r>
    <x v="0"/>
    <x v="28"/>
    <x v="27"/>
    <x v="27"/>
    <m/>
    <m/>
    <m/>
    <x v="0"/>
    <m/>
    <m/>
    <x v="6"/>
    <n v="240"/>
    <x v="23"/>
    <n v="4"/>
    <x v="0"/>
    <x v="0"/>
  </r>
  <r>
    <x v="0"/>
    <x v="29"/>
    <x v="28"/>
    <x v="28"/>
    <m/>
    <m/>
    <m/>
    <x v="0"/>
    <m/>
    <m/>
    <x v="2"/>
    <n v="270"/>
    <x v="6"/>
    <n v="4"/>
    <x v="0"/>
    <x v="0"/>
  </r>
  <r>
    <x v="0"/>
    <x v="30"/>
    <x v="29"/>
    <x v="29"/>
    <m/>
    <m/>
    <m/>
    <x v="0"/>
    <m/>
    <m/>
    <x v="2"/>
    <n v="215"/>
    <x v="23"/>
    <n v="3"/>
    <x v="0"/>
    <x v="0"/>
  </r>
  <r>
    <x v="0"/>
    <x v="31"/>
    <x v="30"/>
    <x v="30"/>
    <m/>
    <m/>
    <m/>
    <x v="0"/>
    <m/>
    <m/>
    <x v="2"/>
    <n v="210"/>
    <x v="6"/>
    <n v="3"/>
    <x v="0"/>
    <x v="0"/>
  </r>
  <r>
    <x v="0"/>
    <x v="32"/>
    <x v="31"/>
    <x v="31"/>
    <m/>
    <m/>
    <m/>
    <x v="0"/>
    <m/>
    <m/>
    <x v="5"/>
    <n v="205"/>
    <x v="23"/>
    <n v="3"/>
    <x v="0"/>
    <x v="0"/>
  </r>
  <r>
    <x v="0"/>
    <x v="33"/>
    <x v="32"/>
    <x v="32"/>
    <m/>
    <m/>
    <m/>
    <x v="0"/>
    <m/>
    <m/>
    <x v="2"/>
    <n v="130"/>
    <x v="24"/>
    <n v="2"/>
    <x v="0"/>
    <x v="0"/>
  </r>
  <r>
    <x v="0"/>
    <x v="34"/>
    <x v="33"/>
    <x v="33"/>
    <m/>
    <m/>
    <m/>
    <x v="0"/>
    <m/>
    <m/>
    <x v="5"/>
    <n v="125"/>
    <x v="23"/>
    <n v="2"/>
    <x v="0"/>
    <x v="0"/>
  </r>
  <r>
    <x v="0"/>
    <x v="35"/>
    <x v="34"/>
    <x v="27"/>
    <m/>
    <m/>
    <m/>
    <x v="0"/>
    <m/>
    <m/>
    <x v="2"/>
    <n v="110"/>
    <x v="6"/>
    <n v="1"/>
    <x v="0"/>
    <x v="0"/>
  </r>
  <r>
    <x v="0"/>
    <x v="36"/>
    <x v="35"/>
    <x v="34"/>
    <m/>
    <m/>
    <m/>
    <x v="0"/>
    <m/>
    <m/>
    <x v="2"/>
    <n v="110"/>
    <x v="6"/>
    <n v="1"/>
    <x v="0"/>
    <x v="0"/>
  </r>
  <r>
    <x v="0"/>
    <x v="37"/>
    <x v="36"/>
    <x v="35"/>
    <m/>
    <m/>
    <m/>
    <x v="0"/>
    <m/>
    <m/>
    <x v="2"/>
    <n v="90"/>
    <x v="25"/>
    <n v="1"/>
    <x v="0"/>
    <x v="0"/>
  </r>
  <r>
    <x v="0"/>
    <x v="38"/>
    <x v="37"/>
    <x v="36"/>
    <m/>
    <m/>
    <m/>
    <x v="0"/>
    <m/>
    <m/>
    <x v="2"/>
    <n v="80"/>
    <x v="26"/>
    <n v="1"/>
    <x v="0"/>
    <x v="0"/>
  </r>
  <r>
    <x v="0"/>
    <x v="39"/>
    <x v="38"/>
    <x v="9"/>
    <m/>
    <m/>
    <m/>
    <x v="0"/>
    <m/>
    <m/>
    <x v="2"/>
    <n v="80"/>
    <x v="25"/>
    <n v="1"/>
    <x v="0"/>
    <x v="0"/>
  </r>
  <r>
    <x v="0"/>
    <x v="40"/>
    <x v="39"/>
    <x v="37"/>
    <m/>
    <m/>
    <m/>
    <x v="0"/>
    <m/>
    <m/>
    <x v="2"/>
    <n v="75"/>
    <x v="27"/>
    <n v="1"/>
    <x v="0"/>
    <x v="0"/>
  </r>
  <r>
    <x v="0"/>
    <x v="41"/>
    <x v="40"/>
    <x v="38"/>
    <m/>
    <m/>
    <m/>
    <x v="0"/>
    <m/>
    <m/>
    <x v="2"/>
    <n v="75"/>
    <x v="27"/>
    <n v="1"/>
    <x v="0"/>
    <x v="0"/>
  </r>
  <r>
    <x v="0"/>
    <x v="42"/>
    <x v="41"/>
    <x v="39"/>
    <m/>
    <m/>
    <m/>
    <x v="0"/>
    <m/>
    <m/>
    <x v="2"/>
    <n v="70"/>
    <x v="6"/>
    <n v="1"/>
    <x v="0"/>
    <x v="0"/>
  </r>
  <r>
    <x v="0"/>
    <x v="43"/>
    <x v="42"/>
    <x v="40"/>
    <m/>
    <m/>
    <m/>
    <x v="0"/>
    <m/>
    <m/>
    <x v="5"/>
    <n v="70"/>
    <x v="6"/>
    <n v="2"/>
    <x v="0"/>
    <x v="0"/>
  </r>
  <r>
    <x v="0"/>
    <x v="44"/>
    <x v="43"/>
    <x v="41"/>
    <m/>
    <m/>
    <m/>
    <x v="0"/>
    <m/>
    <m/>
    <x v="2"/>
    <n v="65"/>
    <x v="6"/>
    <n v="1"/>
    <x v="0"/>
    <x v="0"/>
  </r>
  <r>
    <x v="0"/>
    <x v="45"/>
    <x v="44"/>
    <x v="42"/>
    <m/>
    <m/>
    <m/>
    <x v="0"/>
    <m/>
    <m/>
    <x v="2"/>
    <n v="65"/>
    <x v="6"/>
    <n v="1"/>
    <x v="0"/>
    <x v="0"/>
  </r>
  <r>
    <x v="0"/>
    <x v="46"/>
    <x v="38"/>
    <x v="32"/>
    <m/>
    <m/>
    <m/>
    <x v="0"/>
    <m/>
    <m/>
    <x v="2"/>
    <n v="60"/>
    <x v="6"/>
    <n v="1"/>
    <x v="0"/>
    <x v="0"/>
  </r>
  <r>
    <x v="0"/>
    <x v="47"/>
    <x v="45"/>
    <x v="43"/>
    <m/>
    <m/>
    <m/>
    <x v="0"/>
    <m/>
    <m/>
    <x v="5"/>
    <n v="50"/>
    <x v="6"/>
    <n v="1"/>
    <x v="0"/>
    <x v="0"/>
  </r>
  <r>
    <x v="0"/>
    <x v="48"/>
    <x v="46"/>
    <x v="44"/>
    <m/>
    <m/>
    <m/>
    <x v="0"/>
    <m/>
    <m/>
    <x v="2"/>
    <n v="35"/>
    <x v="6"/>
    <n v="1"/>
    <x v="0"/>
    <x v="0"/>
  </r>
  <r>
    <x v="0"/>
    <x v="49"/>
    <x v="47"/>
    <x v="45"/>
    <m/>
    <m/>
    <m/>
    <x v="0"/>
    <m/>
    <m/>
    <x v="2"/>
    <n v="30"/>
    <x v="6"/>
    <n v="1"/>
    <x v="0"/>
    <x v="0"/>
  </r>
  <r>
    <x v="1"/>
    <x v="50"/>
    <x v="48"/>
    <x v="46"/>
    <m/>
    <m/>
    <m/>
    <x v="0"/>
    <m/>
    <m/>
    <x v="2"/>
    <n v="95"/>
    <x v="28"/>
    <n v="1"/>
    <x v="0"/>
    <x v="0"/>
  </r>
  <r>
    <x v="2"/>
    <x v="9"/>
    <x v="9"/>
    <x v="9"/>
    <m/>
    <m/>
    <m/>
    <x v="0"/>
    <m/>
    <m/>
    <x v="2"/>
    <n v="95"/>
    <x v="6"/>
    <n v="1"/>
    <x v="0"/>
    <x v="0"/>
  </r>
  <r>
    <x v="2"/>
    <x v="0"/>
    <x v="0"/>
    <x v="0"/>
    <m/>
    <m/>
    <m/>
    <x v="0"/>
    <m/>
    <m/>
    <x v="2"/>
    <n v="65"/>
    <x v="6"/>
    <n v="1"/>
    <x v="0"/>
    <x v="2"/>
  </r>
  <r>
    <x v="2"/>
    <x v="14"/>
    <x v="14"/>
    <x v="14"/>
    <m/>
    <m/>
    <m/>
    <x v="0"/>
    <m/>
    <m/>
    <x v="2"/>
    <n v="90"/>
    <x v="6"/>
    <n v="1"/>
    <x v="0"/>
    <x v="0"/>
  </r>
  <r>
    <x v="2"/>
    <x v="11"/>
    <x v="11"/>
    <x v="11"/>
    <m/>
    <m/>
    <m/>
    <x v="0"/>
    <m/>
    <m/>
    <x v="2"/>
    <n v="95"/>
    <x v="6"/>
    <n v="1"/>
    <x v="0"/>
    <x v="0"/>
  </r>
  <r>
    <x v="2"/>
    <x v="20"/>
    <x v="19"/>
    <x v="20"/>
    <m/>
    <m/>
    <m/>
    <x v="0"/>
    <m/>
    <m/>
    <x v="2"/>
    <n v="60"/>
    <x v="6"/>
    <n v="1"/>
    <x v="0"/>
    <x v="0"/>
  </r>
  <r>
    <x v="2"/>
    <x v="8"/>
    <x v="8"/>
    <x v="8"/>
    <m/>
    <m/>
    <m/>
    <x v="0"/>
    <m/>
    <m/>
    <x v="2"/>
    <n v="75"/>
    <x v="6"/>
    <n v="1"/>
    <x v="0"/>
    <x v="0"/>
  </r>
  <r>
    <x v="2"/>
    <x v="29"/>
    <x v="28"/>
    <x v="28"/>
    <m/>
    <m/>
    <m/>
    <x v="0"/>
    <m/>
    <m/>
    <x v="2"/>
    <n v="80"/>
    <x v="6"/>
    <n v="1"/>
    <x v="0"/>
    <x v="0"/>
  </r>
  <r>
    <x v="2"/>
    <x v="2"/>
    <x v="2"/>
    <x v="2"/>
    <m/>
    <m/>
    <m/>
    <x v="0"/>
    <m/>
    <m/>
    <x v="2"/>
    <n v="95"/>
    <x v="6"/>
    <n v="1"/>
    <x v="0"/>
    <x v="0"/>
  </r>
  <r>
    <x v="2"/>
    <x v="24"/>
    <x v="23"/>
    <x v="23"/>
    <m/>
    <m/>
    <m/>
    <x v="0"/>
    <m/>
    <m/>
    <x v="2"/>
    <n v="100"/>
    <x v="6"/>
    <n v="1"/>
    <x v="0"/>
    <x v="0"/>
  </r>
  <r>
    <x v="2"/>
    <x v="7"/>
    <x v="7"/>
    <x v="7"/>
    <m/>
    <m/>
    <m/>
    <x v="0"/>
    <m/>
    <m/>
    <x v="2"/>
    <n v="75"/>
    <x v="6"/>
    <n v="1"/>
    <x v="0"/>
    <x v="0"/>
  </r>
  <r>
    <x v="2"/>
    <x v="28"/>
    <x v="27"/>
    <x v="27"/>
    <m/>
    <m/>
    <m/>
    <x v="0"/>
    <m/>
    <m/>
    <x v="2"/>
    <n v="85"/>
    <x v="6"/>
    <n v="1"/>
    <x v="0"/>
    <x v="0"/>
  </r>
  <r>
    <x v="2"/>
    <x v="22"/>
    <x v="21"/>
    <x v="8"/>
    <m/>
    <m/>
    <m/>
    <x v="0"/>
    <m/>
    <m/>
    <x v="2"/>
    <n v="70"/>
    <x v="6"/>
    <n v="1"/>
    <x v="0"/>
    <x v="0"/>
  </r>
  <r>
    <x v="3"/>
    <x v="9"/>
    <x v="9"/>
    <x v="9"/>
    <m/>
    <m/>
    <m/>
    <x v="0"/>
    <m/>
    <m/>
    <x v="2"/>
    <n v="100"/>
    <x v="11"/>
    <n v="1"/>
    <x v="0"/>
    <x v="0"/>
  </r>
  <r>
    <x v="3"/>
    <x v="6"/>
    <x v="6"/>
    <x v="6"/>
    <m/>
    <m/>
    <m/>
    <x v="0"/>
    <m/>
    <m/>
    <x v="2"/>
    <n v="100"/>
    <x v="11"/>
    <n v="1"/>
    <x v="0"/>
    <x v="0"/>
  </r>
  <r>
    <x v="3"/>
    <x v="4"/>
    <x v="4"/>
    <x v="4"/>
    <m/>
    <m/>
    <m/>
    <x v="0"/>
    <m/>
    <m/>
    <x v="2"/>
    <n v="95"/>
    <x v="29"/>
    <n v="1"/>
    <x v="0"/>
    <x v="0"/>
  </r>
  <r>
    <x v="3"/>
    <x v="20"/>
    <x v="19"/>
    <x v="20"/>
    <m/>
    <m/>
    <m/>
    <x v="0"/>
    <m/>
    <m/>
    <x v="2"/>
    <n v="50"/>
    <x v="6"/>
    <n v="1"/>
    <x v="0"/>
    <x v="0"/>
  </r>
  <r>
    <x v="3"/>
    <x v="3"/>
    <x v="3"/>
    <x v="3"/>
    <m/>
    <m/>
    <m/>
    <x v="0"/>
    <m/>
    <m/>
    <x v="2"/>
    <n v="70"/>
    <x v="6"/>
    <n v="1"/>
    <x v="0"/>
    <x v="0"/>
  </r>
  <r>
    <x v="3"/>
    <x v="25"/>
    <x v="24"/>
    <x v="24"/>
    <m/>
    <m/>
    <m/>
    <x v="0"/>
    <m/>
    <m/>
    <x v="2"/>
    <n v="65"/>
    <x v="6"/>
    <n v="1"/>
    <x v="0"/>
    <x v="0"/>
  </r>
  <r>
    <x v="3"/>
    <x v="5"/>
    <x v="5"/>
    <x v="5"/>
    <m/>
    <m/>
    <m/>
    <x v="0"/>
    <m/>
    <m/>
    <x v="0"/>
    <n v="60"/>
    <x v="6"/>
    <n v="1"/>
    <x v="0"/>
    <x v="0"/>
  </r>
  <r>
    <x v="3"/>
    <x v="17"/>
    <x v="17"/>
    <x v="17"/>
    <m/>
    <m/>
    <m/>
    <x v="0"/>
    <m/>
    <m/>
    <x v="2"/>
    <n v="50"/>
    <x v="6"/>
    <n v="1"/>
    <x v="0"/>
    <x v="0"/>
  </r>
  <r>
    <x v="3"/>
    <x v="11"/>
    <x v="11"/>
    <x v="11"/>
    <m/>
    <m/>
    <m/>
    <x v="0"/>
    <m/>
    <m/>
    <x v="2"/>
    <n v="80"/>
    <x v="6"/>
    <n v="1"/>
    <x v="0"/>
    <x v="0"/>
  </r>
  <r>
    <x v="3"/>
    <x v="16"/>
    <x v="16"/>
    <x v="16"/>
    <m/>
    <m/>
    <m/>
    <x v="0"/>
    <m/>
    <m/>
    <x v="2"/>
    <n v="50"/>
    <x v="6"/>
    <n v="1"/>
    <x v="0"/>
    <x v="0"/>
  </r>
  <r>
    <x v="3"/>
    <x v="27"/>
    <x v="26"/>
    <x v="26"/>
    <m/>
    <m/>
    <m/>
    <x v="0"/>
    <m/>
    <m/>
    <x v="2"/>
    <n v="80"/>
    <x v="6"/>
    <n v="1"/>
    <x v="0"/>
    <x v="0"/>
  </r>
  <r>
    <x v="3"/>
    <x v="33"/>
    <x v="32"/>
    <x v="32"/>
    <m/>
    <m/>
    <m/>
    <x v="0"/>
    <m/>
    <m/>
    <x v="2"/>
    <n v="75"/>
    <x v="6"/>
    <n v="1"/>
    <x v="0"/>
    <x v="0"/>
  </r>
  <r>
    <x v="3"/>
    <x v="10"/>
    <x v="10"/>
    <x v="10"/>
    <m/>
    <m/>
    <m/>
    <x v="0"/>
    <m/>
    <m/>
    <x v="5"/>
    <n v="90"/>
    <x v="6"/>
    <n v="1"/>
    <x v="0"/>
    <x v="0"/>
  </r>
  <r>
    <x v="3"/>
    <x v="30"/>
    <x v="29"/>
    <x v="29"/>
    <m/>
    <m/>
    <m/>
    <x v="0"/>
    <m/>
    <m/>
    <x v="2"/>
    <n v="80"/>
    <x v="6"/>
    <n v="1"/>
    <x v="0"/>
    <x v="0"/>
  </r>
  <r>
    <x v="3"/>
    <x v="43"/>
    <x v="42"/>
    <x v="40"/>
    <m/>
    <m/>
    <m/>
    <x v="0"/>
    <m/>
    <n v="69"/>
    <x v="2"/>
    <n v="100"/>
    <x v="11"/>
    <n v="1"/>
    <x v="0"/>
    <x v="0"/>
  </r>
  <r>
    <x v="3"/>
    <x v="0"/>
    <x v="0"/>
    <x v="0"/>
    <m/>
    <m/>
    <m/>
    <x v="0"/>
    <m/>
    <m/>
    <x v="2"/>
    <n v="50"/>
    <x v="6"/>
    <n v="1"/>
    <x v="0"/>
    <x v="3"/>
  </r>
  <r>
    <x v="3"/>
    <x v="24"/>
    <x v="23"/>
    <x v="23"/>
    <m/>
    <m/>
    <m/>
    <x v="0"/>
    <m/>
    <m/>
    <x v="2"/>
    <n v="70"/>
    <x v="6"/>
    <n v="1"/>
    <x v="0"/>
    <x v="0"/>
  </r>
  <r>
    <x v="3"/>
    <x v="23"/>
    <x v="22"/>
    <x v="22"/>
    <m/>
    <m/>
    <m/>
    <x v="0"/>
    <m/>
    <m/>
    <x v="5"/>
    <n v="95"/>
    <x v="29"/>
    <n v="1"/>
    <x v="0"/>
    <x v="0"/>
  </r>
  <r>
    <x v="3"/>
    <x v="29"/>
    <x v="28"/>
    <x v="28"/>
    <m/>
    <m/>
    <m/>
    <x v="0"/>
    <m/>
    <m/>
    <x v="2"/>
    <n v="85"/>
    <x v="6"/>
    <n v="1"/>
    <x v="0"/>
    <x v="0"/>
  </r>
  <r>
    <x v="3"/>
    <x v="1"/>
    <x v="1"/>
    <x v="1"/>
    <m/>
    <m/>
    <m/>
    <x v="0"/>
    <m/>
    <m/>
    <x v="2"/>
    <n v="90"/>
    <x v="6"/>
    <n v="1"/>
    <x v="0"/>
    <x v="0"/>
  </r>
  <r>
    <x v="4"/>
    <x v="7"/>
    <x v="7"/>
    <x v="7"/>
    <m/>
    <m/>
    <n v="10"/>
    <x v="0"/>
    <m/>
    <n v="75"/>
    <x v="2"/>
    <n v="70"/>
    <x v="6"/>
    <n v="1"/>
    <x v="0"/>
    <x v="0"/>
  </r>
  <r>
    <x v="4"/>
    <x v="9"/>
    <x v="9"/>
    <x v="9"/>
    <m/>
    <m/>
    <n v="12"/>
    <x v="0"/>
    <m/>
    <n v="70"/>
    <x v="2"/>
    <n v="90"/>
    <x v="30"/>
    <n v="1"/>
    <x v="0"/>
    <x v="0"/>
  </r>
  <r>
    <x v="4"/>
    <x v="4"/>
    <x v="4"/>
    <x v="4"/>
    <m/>
    <m/>
    <n v="12"/>
    <x v="0"/>
    <m/>
    <n v="71"/>
    <x v="2"/>
    <n v="85"/>
    <x v="15"/>
    <n v="1"/>
    <x v="0"/>
    <x v="0"/>
  </r>
  <r>
    <x v="4"/>
    <x v="18"/>
    <x v="18"/>
    <x v="18"/>
    <m/>
    <m/>
    <n v="12"/>
    <x v="0"/>
    <m/>
    <n v="73"/>
    <x v="2"/>
    <n v="80"/>
    <x v="12"/>
    <n v="1"/>
    <x v="0"/>
    <x v="0"/>
  </r>
  <r>
    <x v="4"/>
    <x v="11"/>
    <x v="11"/>
    <x v="11"/>
    <m/>
    <m/>
    <n v="15"/>
    <x v="0"/>
    <m/>
    <n v="76"/>
    <x v="2"/>
    <n v="65"/>
    <x v="6"/>
    <n v="1"/>
    <x v="0"/>
    <x v="0"/>
  </r>
  <r>
    <x v="4"/>
    <x v="22"/>
    <x v="21"/>
    <x v="8"/>
    <m/>
    <m/>
    <n v="18"/>
    <x v="0"/>
    <m/>
    <n v="82"/>
    <x v="2"/>
    <n v="45"/>
    <x v="6"/>
    <n v="1"/>
    <x v="0"/>
    <x v="0"/>
  </r>
  <r>
    <x v="4"/>
    <x v="29"/>
    <x v="28"/>
    <x v="28"/>
    <m/>
    <m/>
    <n v="18"/>
    <x v="0"/>
    <m/>
    <n v="81"/>
    <x v="2"/>
    <n v="50"/>
    <x v="6"/>
    <n v="1"/>
    <x v="0"/>
    <x v="0"/>
  </r>
  <r>
    <x v="4"/>
    <x v="16"/>
    <x v="16"/>
    <x v="16"/>
    <m/>
    <m/>
    <n v="19"/>
    <x v="0"/>
    <m/>
    <n v="67"/>
    <x v="2"/>
    <n v="100"/>
    <x v="10"/>
    <n v="1"/>
    <x v="0"/>
    <x v="0"/>
  </r>
  <r>
    <x v="4"/>
    <x v="21"/>
    <x v="20"/>
    <x v="21"/>
    <m/>
    <m/>
    <n v="20"/>
    <x v="0"/>
    <m/>
    <n v="76"/>
    <x v="5"/>
    <n v="65"/>
    <x v="6"/>
    <n v="1"/>
    <x v="0"/>
    <x v="0"/>
  </r>
  <r>
    <x v="4"/>
    <x v="6"/>
    <x v="6"/>
    <x v="6"/>
    <m/>
    <m/>
    <n v="21"/>
    <x v="0"/>
    <m/>
    <n v="79"/>
    <x v="2"/>
    <n v="55"/>
    <x v="6"/>
    <n v="1"/>
    <x v="0"/>
    <x v="0"/>
  </r>
  <r>
    <x v="4"/>
    <x v="27"/>
    <x v="26"/>
    <x v="26"/>
    <m/>
    <m/>
    <n v="24"/>
    <x v="0"/>
    <m/>
    <n v="76"/>
    <x v="2"/>
    <n v="65"/>
    <x v="6"/>
    <n v="1"/>
    <x v="0"/>
    <x v="0"/>
  </r>
  <r>
    <x v="4"/>
    <x v="22"/>
    <x v="21"/>
    <x v="8"/>
    <m/>
    <m/>
    <n v="24"/>
    <x v="0"/>
    <m/>
    <n v="74"/>
    <x v="2"/>
    <n v="75"/>
    <x v="6"/>
    <n v="1"/>
    <x v="0"/>
    <x v="0"/>
  </r>
  <r>
    <x v="4"/>
    <x v="2"/>
    <x v="2"/>
    <x v="2"/>
    <m/>
    <m/>
    <n v="12"/>
    <x v="0"/>
    <m/>
    <n v="76"/>
    <x v="5"/>
    <n v="65"/>
    <x v="6"/>
    <n v="1"/>
    <x v="0"/>
    <x v="0"/>
  </r>
  <r>
    <x v="4"/>
    <x v="10"/>
    <x v="10"/>
    <x v="10"/>
    <m/>
    <m/>
    <n v="13"/>
    <x v="0"/>
    <m/>
    <n v="78"/>
    <x v="2"/>
    <n v="60"/>
    <x v="6"/>
    <n v="1"/>
    <x v="0"/>
    <x v="0"/>
  </r>
  <r>
    <x v="4"/>
    <x v="0"/>
    <x v="0"/>
    <x v="0"/>
    <m/>
    <m/>
    <n v="14"/>
    <x v="0"/>
    <m/>
    <n v="82"/>
    <x v="2"/>
    <n v="45"/>
    <x v="6"/>
    <n v="1"/>
    <x v="0"/>
    <x v="4"/>
  </r>
  <r>
    <x v="4"/>
    <x v="3"/>
    <x v="3"/>
    <x v="3"/>
    <m/>
    <m/>
    <n v="16"/>
    <x v="0"/>
    <m/>
    <n v="81"/>
    <x v="2"/>
    <n v="50"/>
    <x v="6"/>
    <n v="1"/>
    <x v="0"/>
    <x v="0"/>
  </r>
  <r>
    <x v="4"/>
    <x v="1"/>
    <x v="1"/>
    <x v="1"/>
    <m/>
    <m/>
    <n v="24"/>
    <x v="0"/>
    <m/>
    <n v="79"/>
    <x v="2"/>
    <n v="55"/>
    <x v="6"/>
    <n v="1"/>
    <x v="0"/>
    <x v="0"/>
  </r>
  <r>
    <x v="4"/>
    <x v="5"/>
    <x v="5"/>
    <x v="5"/>
    <m/>
    <m/>
    <n v="24"/>
    <x v="0"/>
    <m/>
    <n v="76"/>
    <x v="2"/>
    <n v="65"/>
    <x v="6"/>
    <n v="1"/>
    <x v="0"/>
    <x v="0"/>
  </r>
  <r>
    <x v="4"/>
    <x v="15"/>
    <x v="15"/>
    <x v="15"/>
    <m/>
    <m/>
    <n v="27"/>
    <x v="0"/>
    <m/>
    <n v="79"/>
    <x v="2"/>
    <n v="55"/>
    <x v="6"/>
    <n v="1"/>
    <x v="0"/>
    <x v="0"/>
  </r>
  <r>
    <x v="4"/>
    <x v="17"/>
    <x v="17"/>
    <x v="17"/>
    <m/>
    <m/>
    <n v="29"/>
    <x v="0"/>
    <m/>
    <n v="68"/>
    <x v="2"/>
    <n v="95"/>
    <x v="28"/>
    <n v="1"/>
    <x v="0"/>
    <x v="0"/>
  </r>
  <r>
    <x v="5"/>
    <x v="3"/>
    <x v="3"/>
    <x v="3"/>
    <n v="14.9"/>
    <s v="Azul"/>
    <n v="16"/>
    <x v="0"/>
    <n v="95"/>
    <n v="79"/>
    <x v="2"/>
    <n v="65"/>
    <x v="6"/>
    <n v="1"/>
    <x v="0"/>
    <x v="0"/>
  </r>
  <r>
    <x v="5"/>
    <x v="0"/>
    <x v="0"/>
    <x v="0"/>
    <n v="13.8"/>
    <s v="Azul"/>
    <n v="15"/>
    <x v="0"/>
    <n v="99"/>
    <n v="84"/>
    <x v="5"/>
    <n v="55"/>
    <x v="6"/>
    <n v="1"/>
    <x v="0"/>
    <x v="0"/>
  </r>
  <r>
    <x v="5"/>
    <x v="22"/>
    <x v="21"/>
    <x v="8"/>
    <n v="17.600000000000001"/>
    <s v="Blanca"/>
    <n v="18"/>
    <x v="0"/>
    <n v="87"/>
    <n v="69"/>
    <x v="2"/>
    <n v="100"/>
    <x v="10"/>
    <n v="1"/>
    <x v="0"/>
    <x v="0"/>
  </r>
  <r>
    <x v="5"/>
    <x v="10"/>
    <x v="10"/>
    <x v="10"/>
    <n v="13"/>
    <s v="Azul"/>
    <n v="14"/>
    <x v="0"/>
    <n v="93"/>
    <n v="79"/>
    <x v="2"/>
    <n v="65"/>
    <x v="6"/>
    <n v="1"/>
    <x v="0"/>
    <x v="5"/>
  </r>
  <r>
    <x v="5"/>
    <x v="6"/>
    <x v="6"/>
    <x v="6"/>
    <n v="22.3"/>
    <s v="Blanca"/>
    <n v="20"/>
    <x v="0"/>
    <n v="95"/>
    <n v="75"/>
    <x v="2"/>
    <n v="80"/>
    <x v="6"/>
    <n v="1"/>
    <x v="0"/>
    <x v="0"/>
  </r>
  <r>
    <x v="5"/>
    <x v="1"/>
    <x v="1"/>
    <x v="1"/>
    <n v="22.7"/>
    <s v="Blanca"/>
    <n v="24"/>
    <x v="0"/>
    <n v="98"/>
    <n v="74"/>
    <x v="5"/>
    <n v="85"/>
    <x v="31"/>
    <n v="1"/>
    <x v="0"/>
    <x v="0"/>
  </r>
  <r>
    <x v="5"/>
    <x v="11"/>
    <x v="11"/>
    <x v="11"/>
    <n v="15.6"/>
    <s v="Blanca"/>
    <n v="15"/>
    <x v="0"/>
    <n v="92"/>
    <n v="77"/>
    <x v="2"/>
    <n v="75"/>
    <x v="6"/>
    <n v="1"/>
    <x v="0"/>
    <x v="0"/>
  </r>
  <r>
    <x v="5"/>
    <x v="15"/>
    <x v="15"/>
    <x v="15"/>
    <n v="26"/>
    <s v="Blanca"/>
    <n v="28"/>
    <x v="0"/>
    <n v="108"/>
    <n v="80"/>
    <x v="5"/>
    <n v="60"/>
    <x v="6"/>
    <n v="1"/>
    <x v="0"/>
    <x v="0"/>
  </r>
  <r>
    <x v="5"/>
    <x v="23"/>
    <x v="22"/>
    <x v="22"/>
    <n v="13.3"/>
    <s v="Azul"/>
    <n v="14"/>
    <x v="0"/>
    <n v="98"/>
    <n v="84"/>
    <x v="5"/>
    <n v="55"/>
    <x v="6"/>
    <n v="1"/>
    <x v="0"/>
    <x v="0"/>
  </r>
  <r>
    <x v="5"/>
    <x v="4"/>
    <x v="4"/>
    <x v="4"/>
    <n v="11.4"/>
    <s v="Azul"/>
    <n v="12"/>
    <x v="0"/>
    <n v="85"/>
    <n v="73"/>
    <x v="2"/>
    <n v="90"/>
    <x v="15"/>
    <n v="1"/>
    <x v="0"/>
    <x v="0"/>
  </r>
  <r>
    <x v="5"/>
    <x v="16"/>
    <x v="16"/>
    <x v="16"/>
    <n v="21.6"/>
    <s v="Blanca"/>
    <n v="18"/>
    <x v="0"/>
    <n v="106"/>
    <n v="88"/>
    <x v="2"/>
    <n v="50"/>
    <x v="6"/>
    <n v="1"/>
    <x v="0"/>
    <x v="0"/>
  </r>
  <r>
    <x v="5"/>
    <x v="19"/>
    <x v="10"/>
    <x v="19"/>
    <n v="9.8000000000000007"/>
    <s v="Azul"/>
    <n v="10"/>
    <x v="0"/>
    <n v="88"/>
    <n v="78"/>
    <x v="2"/>
    <n v="70"/>
    <x v="6"/>
    <n v="1"/>
    <x v="0"/>
    <x v="0"/>
  </r>
  <r>
    <x v="5"/>
    <x v="7"/>
    <x v="7"/>
    <x v="7"/>
    <n v="9"/>
    <s v="Azul"/>
    <n v="10"/>
    <x v="0"/>
    <n v="90"/>
    <n v="80"/>
    <x v="2"/>
    <n v="60"/>
    <x v="6"/>
    <n v="1"/>
    <x v="0"/>
    <x v="0"/>
  </r>
  <r>
    <x v="5"/>
    <x v="5"/>
    <x v="5"/>
    <x v="5"/>
    <n v="23.3"/>
    <s v="Blanca"/>
    <n v="24"/>
    <x v="0"/>
    <n v="113"/>
    <n v="89"/>
    <x v="2"/>
    <n v="45"/>
    <x v="6"/>
    <n v="1"/>
    <x v="0"/>
    <x v="0"/>
  </r>
  <r>
    <x v="5"/>
    <x v="51"/>
    <x v="49"/>
    <x v="47"/>
    <n v="29.8"/>
    <s v="Blanca"/>
    <n v="32"/>
    <x v="0"/>
    <n v="103"/>
    <n v="71"/>
    <x v="2"/>
    <n v="95"/>
    <x v="30"/>
    <n v="1"/>
    <x v="0"/>
    <x v="0"/>
  </r>
  <r>
    <x v="5"/>
    <x v="18"/>
    <x v="18"/>
    <x v="18"/>
    <n v="12.1"/>
    <s v="Azul"/>
    <n v="12"/>
    <x v="0"/>
    <n v="86"/>
    <n v="74"/>
    <x v="5"/>
    <n v="85"/>
    <x v="31"/>
    <n v="1"/>
    <x v="0"/>
    <x v="0"/>
  </r>
  <r>
    <x v="5"/>
    <x v="21"/>
    <x v="20"/>
    <x v="21"/>
    <n v="20.7"/>
    <s v="Blanca"/>
    <n v="20"/>
    <x v="0"/>
    <n v="89"/>
    <n v="69"/>
    <x v="2"/>
    <n v="100"/>
    <x v="10"/>
    <n v="1"/>
    <x v="0"/>
    <x v="0"/>
  </r>
  <r>
    <x v="5"/>
    <x v="17"/>
    <x v="17"/>
    <x v="17"/>
    <n v="27.1"/>
    <s v="Blanca"/>
    <n v="28"/>
    <x v="0"/>
    <n v="108"/>
    <n v="80"/>
    <x v="2"/>
    <n v="60"/>
    <x v="6"/>
    <n v="1"/>
    <x v="0"/>
    <x v="0"/>
  </r>
  <r>
    <x v="5"/>
    <x v="27"/>
    <x v="26"/>
    <x v="26"/>
    <n v="23.6"/>
    <s v="Blanca"/>
    <n v="24"/>
    <x v="0"/>
    <n v="99"/>
    <n v="75"/>
    <x v="2"/>
    <n v="80"/>
    <x v="6"/>
    <n v="1"/>
    <x v="0"/>
    <x v="0"/>
  </r>
  <r>
    <x v="5"/>
    <x v="20"/>
    <x v="19"/>
    <x v="20"/>
    <n v="18"/>
    <s v="Blanca"/>
    <n v="18"/>
    <x v="0"/>
    <n v="106"/>
    <n v="88"/>
    <x v="2"/>
    <n v="50"/>
    <x v="6"/>
    <n v="1"/>
    <x v="0"/>
    <x v="0"/>
  </r>
  <r>
    <x v="6"/>
    <x v="3"/>
    <x v="3"/>
    <x v="3"/>
    <n v="15.1"/>
    <s v="Azules - 5924"/>
    <n v="16"/>
    <x v="0"/>
    <n v="88"/>
    <n v="72"/>
    <x v="2"/>
    <n v="75"/>
    <x v="6"/>
    <n v="1"/>
    <x v="0"/>
    <x v="0"/>
  </r>
  <r>
    <x v="6"/>
    <x v="22"/>
    <x v="21"/>
    <x v="8"/>
    <n v="17.899999999999999"/>
    <s v="Azules - 5924"/>
    <n v="20"/>
    <x v="0"/>
    <n v="96"/>
    <n v="78"/>
    <x v="2"/>
    <n v="50"/>
    <x v="6"/>
    <n v="1"/>
    <x v="0"/>
    <x v="0"/>
  </r>
  <r>
    <x v="6"/>
    <x v="16"/>
    <x v="16"/>
    <x v="16"/>
    <n v="18.7"/>
    <s v="Blancas - 5710"/>
    <n v="18"/>
    <x v="0"/>
    <n v="91"/>
    <n v="73"/>
    <x v="2"/>
    <n v="70"/>
    <x v="6"/>
    <n v="1"/>
    <x v="0"/>
    <x v="0"/>
  </r>
  <r>
    <x v="6"/>
    <x v="7"/>
    <x v="7"/>
    <x v="7"/>
    <n v="10.1"/>
    <s v="Azules - 5924"/>
    <n v="10"/>
    <x v="0"/>
    <n v="90"/>
    <n v="80"/>
    <x v="2"/>
    <n v="45"/>
    <x v="6"/>
    <n v="1"/>
    <x v="0"/>
    <x v="0"/>
  </r>
  <r>
    <x v="6"/>
    <x v="11"/>
    <x v="11"/>
    <x v="11"/>
    <n v="15.7"/>
    <s v="Azules - 5924"/>
    <n v="17"/>
    <x v="0"/>
    <n v="83"/>
    <n v="68"/>
    <x v="2"/>
    <n v="90"/>
    <x v="30"/>
    <n v="1"/>
    <x v="0"/>
    <x v="0"/>
  </r>
  <r>
    <x v="6"/>
    <x v="0"/>
    <x v="0"/>
    <x v="0"/>
    <n v="15.2"/>
    <s v="Azules - 5924"/>
    <n v="16"/>
    <x v="0"/>
    <n v="104"/>
    <n v="88"/>
    <x v="5"/>
    <n v="30"/>
    <x v="6"/>
    <n v="1"/>
    <x v="0"/>
    <x v="3"/>
  </r>
  <r>
    <x v="6"/>
    <x v="9"/>
    <x v="9"/>
    <x v="9"/>
    <n v="10.9"/>
    <s v="Azules - 5924"/>
    <n v="11"/>
    <x v="0"/>
    <n v="77"/>
    <n v="66"/>
    <x v="2"/>
    <n v="95"/>
    <x v="28"/>
    <n v="1"/>
    <x v="0"/>
    <x v="0"/>
  </r>
  <r>
    <x v="6"/>
    <x v="1"/>
    <x v="1"/>
    <x v="1"/>
    <n v="23.3"/>
    <s v="Blancas - 5710"/>
    <n v="24"/>
    <x v="0"/>
    <n v="98"/>
    <n v="74"/>
    <x v="5"/>
    <n v="65"/>
    <x v="6"/>
    <n v="1"/>
    <x v="0"/>
    <x v="0"/>
  </r>
  <r>
    <x v="6"/>
    <x v="18"/>
    <x v="18"/>
    <x v="18"/>
    <n v="11.8"/>
    <s v="Azules - 5924"/>
    <n v="12"/>
    <x v="0"/>
    <n v="88"/>
    <n v="76"/>
    <x v="5"/>
    <n v="55"/>
    <x v="6"/>
    <n v="1"/>
    <x v="0"/>
    <x v="0"/>
  </r>
  <r>
    <x v="6"/>
    <x v="17"/>
    <x v="17"/>
    <x v="17"/>
    <n v="27.2"/>
    <s v="Blancas - 5710"/>
    <n v="28"/>
    <x v="0"/>
    <n v="110"/>
    <n v="82"/>
    <x v="2"/>
    <n v="35"/>
    <x v="6"/>
    <n v="1"/>
    <x v="0"/>
    <x v="0"/>
  </r>
  <r>
    <x v="6"/>
    <x v="8"/>
    <x v="8"/>
    <x v="8"/>
    <n v="23.3"/>
    <s v="Blancas - 5710"/>
    <n v="24"/>
    <x v="0"/>
    <n v="102"/>
    <n v="78"/>
    <x v="2"/>
    <n v="50"/>
    <x v="6"/>
    <n v="1"/>
    <x v="0"/>
    <x v="0"/>
  </r>
  <r>
    <x v="6"/>
    <x v="20"/>
    <x v="19"/>
    <x v="20"/>
    <n v="18"/>
    <s v="Blancas - 5710"/>
    <n v="18"/>
    <x v="0"/>
    <n v="92"/>
    <n v="74"/>
    <x v="2"/>
    <n v="65"/>
    <x v="6"/>
    <n v="1"/>
    <x v="0"/>
    <x v="0"/>
  </r>
  <r>
    <x v="6"/>
    <x v="14"/>
    <x v="14"/>
    <x v="14"/>
    <n v="16.7"/>
    <s v="Azules - 5924"/>
    <n v="18"/>
    <x v="0"/>
    <n v="89"/>
    <n v="71"/>
    <x v="2"/>
    <n v="80"/>
    <x v="14"/>
    <n v="1"/>
    <x v="0"/>
    <x v="0"/>
  </r>
  <r>
    <x v="6"/>
    <x v="2"/>
    <x v="2"/>
    <x v="2"/>
    <n v="11.6"/>
    <s v="Azules - 5924"/>
    <n v="12"/>
    <x v="0"/>
    <n v="88"/>
    <n v="76"/>
    <x v="2"/>
    <n v="55"/>
    <x v="6"/>
    <n v="1"/>
    <x v="0"/>
    <x v="0"/>
  </r>
  <r>
    <x v="6"/>
    <x v="4"/>
    <x v="4"/>
    <x v="4"/>
    <n v="11.4"/>
    <s v="Azules - 5924"/>
    <n v="12"/>
    <x v="0"/>
    <n v="81"/>
    <n v="69"/>
    <x v="5"/>
    <n v="85"/>
    <x v="12"/>
    <n v="1"/>
    <x v="0"/>
    <x v="0"/>
  </r>
  <r>
    <x v="6"/>
    <x v="21"/>
    <x v="20"/>
    <x v="21"/>
    <n v="19.5"/>
    <s v="Blancas - 5710"/>
    <n v="19"/>
    <x v="0"/>
    <n v="107"/>
    <n v="88"/>
    <x v="2"/>
    <n v="30"/>
    <x v="6"/>
    <n v="1"/>
    <x v="0"/>
    <x v="0"/>
  </r>
  <r>
    <x v="6"/>
    <x v="27"/>
    <x v="26"/>
    <x v="26"/>
    <n v="23.6"/>
    <s v="Blancas - 5710"/>
    <n v="24"/>
    <x v="0"/>
    <n v="105"/>
    <n v="81"/>
    <x v="2"/>
    <n v="40"/>
    <x v="6"/>
    <n v="1"/>
    <x v="0"/>
    <x v="0"/>
  </r>
  <r>
    <x v="6"/>
    <x v="24"/>
    <x v="23"/>
    <x v="23"/>
    <n v="9.1999999999999993"/>
    <s v="Azules - 5924"/>
    <n v="9"/>
    <x v="0"/>
    <n v="85"/>
    <n v="76"/>
    <x v="2"/>
    <n v="55"/>
    <x v="6"/>
    <n v="1"/>
    <x v="0"/>
    <x v="0"/>
  </r>
  <r>
    <x v="6"/>
    <x v="28"/>
    <x v="27"/>
    <x v="27"/>
    <n v="14.1"/>
    <s v="Azules - 5924"/>
    <n v="15"/>
    <x v="0"/>
    <n v="90"/>
    <n v="75"/>
    <x v="5"/>
    <n v="60"/>
    <x v="6"/>
    <n v="1"/>
    <x v="0"/>
    <x v="0"/>
  </r>
  <r>
    <x v="6"/>
    <x v="10"/>
    <x v="10"/>
    <x v="10"/>
    <n v="13.3"/>
    <s v="Azules - 5924"/>
    <n v="14"/>
    <x v="0"/>
    <n v="79"/>
    <n v="65"/>
    <x v="5"/>
    <n v="100"/>
    <x v="32"/>
    <n v="1"/>
    <x v="0"/>
    <x v="0"/>
  </r>
  <r>
    <x v="7"/>
    <x v="9"/>
    <x v="9"/>
    <x v="9"/>
    <n v="10.4"/>
    <s v="Azules - 5924"/>
    <n v="10"/>
    <x v="0"/>
    <n v="82"/>
    <n v="72"/>
    <x v="2"/>
    <n v="90"/>
    <x v="31"/>
    <n v="1"/>
    <x v="0"/>
    <x v="0"/>
  </r>
  <r>
    <x v="7"/>
    <x v="10"/>
    <x v="10"/>
    <x v="10"/>
    <n v="12.8"/>
    <s v="Azules - 5924"/>
    <n v="13"/>
    <x v="0"/>
    <n v="93"/>
    <n v="80"/>
    <x v="2"/>
    <n v="55"/>
    <x v="6"/>
    <n v="1"/>
    <x v="0"/>
    <x v="0"/>
  </r>
  <r>
    <x v="7"/>
    <x v="1"/>
    <x v="1"/>
    <x v="1"/>
    <n v="23.1"/>
    <s v="Blancas - 5710"/>
    <n v="23"/>
    <x v="0"/>
    <n v="98"/>
    <n v="75"/>
    <x v="2"/>
    <n v="80"/>
    <x v="6"/>
    <n v="1"/>
    <x v="0"/>
    <x v="0"/>
  </r>
  <r>
    <x v="7"/>
    <x v="16"/>
    <x v="16"/>
    <x v="16"/>
    <n v="18.7"/>
    <s v="Blancas - 5710"/>
    <n v="18"/>
    <x v="0"/>
    <n v="92"/>
    <n v="74"/>
    <x v="2"/>
    <n v="85"/>
    <x v="6"/>
    <n v="1"/>
    <x v="0"/>
    <x v="0"/>
  </r>
  <r>
    <x v="7"/>
    <x v="6"/>
    <x v="6"/>
    <x v="6"/>
    <n v="22.3"/>
    <s v="Blanca"/>
    <n v="20"/>
    <x v="0"/>
    <n v="97"/>
    <n v="77"/>
    <x v="2"/>
    <n v="70"/>
    <x v="6"/>
    <n v="1"/>
    <x v="0"/>
    <x v="0"/>
  </r>
  <r>
    <x v="7"/>
    <x v="4"/>
    <x v="4"/>
    <x v="4"/>
    <n v="11.4"/>
    <s v="Azules - 5924"/>
    <n v="12"/>
    <x v="0"/>
    <n v="81"/>
    <n v="69"/>
    <x v="5"/>
    <n v="100"/>
    <x v="11"/>
    <n v="1"/>
    <x v="0"/>
    <x v="0"/>
  </r>
  <r>
    <x v="7"/>
    <x v="22"/>
    <x v="21"/>
    <x v="8"/>
    <n v="17.899999999999999"/>
    <s v="Blancas - 5710"/>
    <n v="18"/>
    <x v="0"/>
    <n v="94"/>
    <n v="76"/>
    <x v="2"/>
    <n v="75"/>
    <x v="6"/>
    <n v="1"/>
    <x v="0"/>
    <x v="0"/>
  </r>
  <r>
    <x v="7"/>
    <x v="0"/>
    <x v="0"/>
    <x v="0"/>
    <n v="16.600000000000001"/>
    <s v="Azules - 5924"/>
    <n v="18"/>
    <x v="0"/>
    <n v="96"/>
    <n v="78"/>
    <x v="5"/>
    <n v="65"/>
    <x v="6"/>
    <n v="1"/>
    <x v="0"/>
    <x v="5"/>
  </r>
  <r>
    <x v="7"/>
    <x v="15"/>
    <x v="15"/>
    <x v="15"/>
    <n v="26"/>
    <s v="Blanca"/>
    <n v="28"/>
    <x v="0"/>
    <n v="104"/>
    <n v="76"/>
    <x v="2"/>
    <n v="75"/>
    <x v="6"/>
    <n v="1"/>
    <x v="0"/>
    <x v="0"/>
  </r>
  <r>
    <x v="7"/>
    <x v="2"/>
    <x v="2"/>
    <x v="2"/>
    <n v="11.6"/>
    <s v="Azules - 5924"/>
    <n v="12"/>
    <x v="0"/>
    <n v="84"/>
    <n v="72"/>
    <x v="2"/>
    <n v="90"/>
    <x v="31"/>
    <n v="1"/>
    <x v="0"/>
    <x v="0"/>
  </r>
  <r>
    <x v="7"/>
    <x v="23"/>
    <x v="22"/>
    <x v="22"/>
    <n v="13.3"/>
    <s v="Azul"/>
    <n v="14"/>
    <x v="0"/>
    <n v="93"/>
    <n v="79"/>
    <x v="2"/>
    <n v="60"/>
    <x v="6"/>
    <n v="1"/>
    <x v="0"/>
    <x v="0"/>
  </r>
  <r>
    <x v="7"/>
    <x v="14"/>
    <x v="14"/>
    <x v="14"/>
    <n v="16.7"/>
    <s v="Azules - 5924"/>
    <n v="18"/>
    <x v="0"/>
    <n v="88"/>
    <n v="70"/>
    <x v="2"/>
    <n v="95"/>
    <x v="30"/>
    <n v="1"/>
    <x v="0"/>
    <x v="0"/>
  </r>
  <r>
    <x v="8"/>
    <x v="22"/>
    <x v="21"/>
    <x v="8"/>
    <s v="18,6"/>
    <s v="Blancas - 5710"/>
    <s v="18"/>
    <x v="0"/>
    <n v="96"/>
    <n v="78"/>
    <x v="2"/>
    <n v="70"/>
    <x v="6"/>
    <n v="1"/>
    <x v="0"/>
    <x v="0"/>
  </r>
  <r>
    <x v="8"/>
    <x v="10"/>
    <x v="10"/>
    <x v="10"/>
    <s v="12,8"/>
    <s v="Azules - 5924"/>
    <s v="13"/>
    <x v="0"/>
    <n v="82"/>
    <n v="69"/>
    <x v="5"/>
    <n v="95"/>
    <x v="33"/>
    <n v="1"/>
    <x v="0"/>
    <x v="6"/>
  </r>
  <r>
    <x v="8"/>
    <x v="0"/>
    <x v="0"/>
    <x v="0"/>
    <s v="17,3"/>
    <s v="Azules - 5924"/>
    <s v="19"/>
    <x v="0"/>
    <n v="95"/>
    <n v="76"/>
    <x v="5"/>
    <n v="80"/>
    <x v="6"/>
    <n v="1"/>
    <x v="0"/>
    <x v="0"/>
  </r>
  <r>
    <x v="8"/>
    <x v="1"/>
    <x v="1"/>
    <x v="1"/>
    <s v="23,1"/>
    <s v="Blancas - 5710"/>
    <s v="23"/>
    <x v="0"/>
    <n v="117"/>
    <n v="94"/>
    <x v="5"/>
    <n v="40"/>
    <x v="6"/>
    <n v="1"/>
    <x v="0"/>
    <x v="0"/>
  </r>
  <r>
    <x v="8"/>
    <x v="11"/>
    <x v="11"/>
    <x v="11"/>
    <n v="16.100000000000001"/>
    <s v="Blancas - 5710"/>
    <n v="16"/>
    <x v="0"/>
    <n v="97"/>
    <n v="81"/>
    <x v="2"/>
    <n v="55"/>
    <x v="6"/>
    <n v="1"/>
    <x v="0"/>
    <x v="0"/>
  </r>
  <r>
    <x v="8"/>
    <x v="4"/>
    <x v="4"/>
    <x v="4"/>
    <s v="11,5"/>
    <s v="Azules - 5924"/>
    <s v="12"/>
    <x v="0"/>
    <n v="80"/>
    <n v="68"/>
    <x v="5"/>
    <n v="100"/>
    <x v="34"/>
    <n v="1"/>
    <x v="0"/>
    <x v="0"/>
  </r>
  <r>
    <x v="8"/>
    <x v="16"/>
    <x v="16"/>
    <x v="16"/>
    <s v="18,8"/>
    <s v="Blancas - 5710"/>
    <s v="19"/>
    <x v="0"/>
    <n v="94"/>
    <n v="75"/>
    <x v="2"/>
    <n v="85"/>
    <x v="35"/>
    <n v="1"/>
    <x v="0"/>
    <x v="0"/>
  </r>
  <r>
    <x v="8"/>
    <x v="15"/>
    <x v="15"/>
    <x v="15"/>
    <s v="27,3"/>
    <s v="Blancas - 5710"/>
    <s v="28"/>
    <x v="0"/>
    <n v="113"/>
    <n v="85"/>
    <x v="2"/>
    <n v="50"/>
    <x v="6"/>
    <n v="1"/>
    <x v="0"/>
    <x v="0"/>
  </r>
  <r>
    <x v="8"/>
    <x v="2"/>
    <x v="2"/>
    <x v="2"/>
    <s v="11,7"/>
    <s v="Azules - 5924"/>
    <s v="12"/>
    <x v="0"/>
    <n v="92"/>
    <n v="80"/>
    <x v="2"/>
    <n v="60"/>
    <x v="6"/>
    <n v="1"/>
    <x v="0"/>
    <x v="0"/>
  </r>
  <r>
    <x v="8"/>
    <x v="29"/>
    <x v="28"/>
    <x v="28"/>
    <s v="17,9"/>
    <s v="Azules - 5924"/>
    <s v="20"/>
    <x v="0"/>
    <n v="105"/>
    <n v="85"/>
    <x v="2"/>
    <n v="50"/>
    <x v="6"/>
    <n v="1"/>
    <x v="0"/>
    <x v="0"/>
  </r>
  <r>
    <x v="8"/>
    <x v="19"/>
    <x v="10"/>
    <x v="19"/>
    <s v="9,9"/>
    <s v="Azules - 5924"/>
    <s v="10"/>
    <x v="0"/>
    <n v="89"/>
    <n v="79"/>
    <x v="2"/>
    <n v="65"/>
    <x v="6"/>
    <n v="1"/>
    <x v="0"/>
    <x v="0"/>
  </r>
  <r>
    <x v="8"/>
    <x v="25"/>
    <x v="24"/>
    <x v="24"/>
    <s v="11,9"/>
    <s v="Azules - 5924"/>
    <s v="12"/>
    <x v="0"/>
    <n v="91"/>
    <n v="79"/>
    <x v="5"/>
    <n v="65"/>
    <x v="6"/>
    <n v="1"/>
    <x v="0"/>
    <x v="0"/>
  </r>
  <r>
    <x v="8"/>
    <x v="24"/>
    <x v="23"/>
    <x v="23"/>
    <s v="8,3"/>
    <s v="Azules - 5924"/>
    <s v="8"/>
    <x v="0"/>
    <n v="85"/>
    <n v="77"/>
    <x v="5"/>
    <n v="75"/>
    <x v="6"/>
    <n v="1"/>
    <x v="0"/>
    <x v="0"/>
  </r>
  <r>
    <x v="8"/>
    <x v="6"/>
    <x v="6"/>
    <x v="6"/>
    <s v="19,8"/>
    <s v="Blancas - 5710"/>
    <s v="20"/>
    <x v="0"/>
    <n v="94"/>
    <n v="74"/>
    <x v="2"/>
    <n v="90"/>
    <x v="15"/>
    <n v="1"/>
    <x v="0"/>
    <x v="0"/>
  </r>
  <r>
    <x v="8"/>
    <x v="7"/>
    <x v="7"/>
    <x v="7"/>
    <s v="10,5"/>
    <s v="Azules - 5924"/>
    <s v="11"/>
    <x v="0"/>
    <n v="89"/>
    <n v="78"/>
    <x v="2"/>
    <n v="70"/>
    <x v="6"/>
    <n v="1"/>
    <x v="0"/>
    <x v="0"/>
  </r>
  <r>
    <x v="8"/>
    <x v="26"/>
    <x v="25"/>
    <x v="25"/>
    <s v="17,6"/>
    <s v="Azules - 5924"/>
    <s v="19"/>
    <x v="0"/>
    <n v="93"/>
    <n v="74"/>
    <x v="2"/>
    <n v="90"/>
    <x v="15"/>
    <n v="1"/>
    <x v="0"/>
    <x v="0"/>
  </r>
  <r>
    <x v="8"/>
    <x v="20"/>
    <x v="19"/>
    <x v="20"/>
    <s v="18,3"/>
    <s v="Blancas - 5710"/>
    <s v="18"/>
    <x v="0"/>
    <n v="105"/>
    <n v="87"/>
    <x v="2"/>
    <n v="45"/>
    <x v="6"/>
    <n v="1"/>
    <x v="0"/>
    <x v="0"/>
  </r>
  <r>
    <x v="8"/>
    <x v="5"/>
    <x v="5"/>
    <x v="5"/>
    <s v="23,9"/>
    <s v="Blancas - 5710"/>
    <s v="24"/>
    <x v="0"/>
    <n v="100"/>
    <n v="76"/>
    <x v="2"/>
    <n v="80"/>
    <x v="6"/>
    <n v="1"/>
    <x v="0"/>
    <x v="0"/>
  </r>
  <r>
    <x v="8"/>
    <x v="21"/>
    <x v="20"/>
    <x v="21"/>
    <n v="19.5"/>
    <s v="Blancas - 5710"/>
    <n v="19"/>
    <x v="0"/>
    <n v="94"/>
    <n v="75"/>
    <x v="2"/>
    <n v="85"/>
    <x v="35"/>
    <n v="1"/>
    <x v="0"/>
    <x v="0"/>
  </r>
  <r>
    <x v="9"/>
    <x v="9"/>
    <x v="9"/>
    <x v="9"/>
    <n v="10.199999999999999"/>
    <s v="Azules - 5924"/>
    <n v="10"/>
    <x v="0"/>
    <n v="86"/>
    <n v="76"/>
    <x v="2"/>
    <n v="75"/>
    <x v="6"/>
    <n v="1"/>
    <x v="0"/>
    <x v="0"/>
  </r>
  <r>
    <x v="9"/>
    <x v="11"/>
    <x v="11"/>
    <x v="11"/>
    <n v="16.399999999999999"/>
    <s v="Blancas - 5710"/>
    <n v="16"/>
    <x v="0"/>
    <n v="91"/>
    <n v="75"/>
    <x v="5"/>
    <n v="80"/>
    <x v="6"/>
    <n v="1"/>
    <x v="0"/>
    <x v="0"/>
  </r>
  <r>
    <x v="9"/>
    <x v="22"/>
    <x v="21"/>
    <x v="8"/>
    <n v="19"/>
    <s v="Blancas - 5710"/>
    <n v="19"/>
    <x v="0"/>
    <n v="88"/>
    <n v="69"/>
    <x v="2"/>
    <n v="95"/>
    <x v="30"/>
    <n v="1"/>
    <x v="0"/>
    <x v="0"/>
  </r>
  <r>
    <x v="9"/>
    <x v="6"/>
    <x v="6"/>
    <x v="6"/>
    <n v="19.8"/>
    <s v="Blancas - 5710"/>
    <n v="20"/>
    <x v="0"/>
    <n v="94"/>
    <n v="74"/>
    <x v="2"/>
    <n v="85"/>
    <x v="6"/>
    <n v="1"/>
    <x v="0"/>
    <x v="0"/>
  </r>
  <r>
    <x v="9"/>
    <x v="16"/>
    <x v="16"/>
    <x v="16"/>
    <n v="18.8"/>
    <s v="Blancas - 5710"/>
    <n v="19"/>
    <x v="0"/>
    <n v="98"/>
    <n v="79"/>
    <x v="2"/>
    <n v="65"/>
    <x v="6"/>
    <n v="1"/>
    <x v="0"/>
    <x v="0"/>
  </r>
  <r>
    <x v="9"/>
    <x v="18"/>
    <x v="18"/>
    <x v="18"/>
    <n v="11.8"/>
    <s v="Azules - 5924"/>
    <n v="12"/>
    <x v="0"/>
    <n v="102"/>
    <n v="90"/>
    <x v="2"/>
    <n v="50"/>
    <x v="6"/>
    <n v="1"/>
    <x v="0"/>
    <x v="0"/>
  </r>
  <r>
    <x v="9"/>
    <x v="24"/>
    <x v="23"/>
    <x v="23"/>
    <n v="8.6999999999999993"/>
    <s v="Azules - 5924"/>
    <n v="8"/>
    <x v="0"/>
    <n v="89"/>
    <n v="81"/>
    <x v="5"/>
    <n v="60"/>
    <x v="6"/>
    <n v="1"/>
    <x v="0"/>
    <x v="0"/>
  </r>
  <r>
    <x v="9"/>
    <x v="19"/>
    <x v="10"/>
    <x v="19"/>
    <n v="10.199999999999999"/>
    <s v="Azules - 5924"/>
    <n v="10"/>
    <x v="0"/>
    <n v="78"/>
    <n v="68"/>
    <x v="2"/>
    <n v="100"/>
    <x v="34"/>
    <n v="1"/>
    <x v="0"/>
    <x v="0"/>
  </r>
  <r>
    <x v="9"/>
    <x v="7"/>
    <x v="7"/>
    <x v="7"/>
    <n v="10.5"/>
    <s v="Azules - 5924"/>
    <n v="11"/>
    <x v="0"/>
    <n v="88"/>
    <n v="77"/>
    <x v="2"/>
    <n v="70"/>
    <x v="6"/>
    <n v="1"/>
    <x v="0"/>
    <x v="0"/>
  </r>
  <r>
    <x v="9"/>
    <x v="8"/>
    <x v="8"/>
    <x v="8"/>
    <n v="24.4"/>
    <s v="Blancas - 5710"/>
    <n v="25"/>
    <x v="0"/>
    <n v="107"/>
    <n v="82"/>
    <x v="2"/>
    <n v="55"/>
    <x v="6"/>
    <n v="1"/>
    <x v="0"/>
    <x v="0"/>
  </r>
  <r>
    <x v="9"/>
    <x v="10"/>
    <x v="10"/>
    <x v="10"/>
    <n v="12.4"/>
    <s v="Azules - 5924"/>
    <n v="13"/>
    <x v="0"/>
    <n v="92"/>
    <n v="79"/>
    <x v="5"/>
    <n v="65"/>
    <x v="6"/>
    <n v="1"/>
    <x v="0"/>
    <x v="7"/>
  </r>
  <r>
    <x v="9"/>
    <x v="2"/>
    <x v="2"/>
    <x v="2"/>
    <n v="11.7"/>
    <s v="Azules - 5924"/>
    <n v="12"/>
    <x v="0"/>
    <n v="82"/>
    <n v="70"/>
    <x v="2"/>
    <n v="90"/>
    <x v="12"/>
    <n v="1"/>
    <x v="0"/>
    <x v="0"/>
  </r>
  <r>
    <x v="10"/>
    <x v="9"/>
    <x v="9"/>
    <x v="9"/>
    <s v="9,8"/>
    <s v="Azules - 5924"/>
    <n v="10"/>
    <x v="0"/>
    <n v="86"/>
    <n v="76"/>
    <x v="2"/>
    <n v="120"/>
    <x v="6"/>
    <n v="1"/>
    <x v="0"/>
    <x v="5"/>
  </r>
  <r>
    <x v="10"/>
    <x v="4"/>
    <x v="4"/>
    <x v="4"/>
    <s v="11,3"/>
    <s v="Azules - 5924"/>
    <s v="11"/>
    <x v="0"/>
    <n v="91"/>
    <n v="80"/>
    <x v="2"/>
    <n v="100"/>
    <x v="6"/>
    <n v="1"/>
    <x v="0"/>
    <x v="0"/>
  </r>
  <r>
    <x v="10"/>
    <x v="25"/>
    <x v="24"/>
    <x v="24"/>
    <s v="11,9"/>
    <s v="Azules - 5924"/>
    <s v="12"/>
    <x v="0"/>
    <n v="84"/>
    <n v="72"/>
    <x v="2"/>
    <n v="170"/>
    <x v="12"/>
    <n v="1"/>
    <x v="0"/>
    <x v="0"/>
  </r>
  <r>
    <x v="10"/>
    <x v="18"/>
    <x v="18"/>
    <x v="18"/>
    <n v="11.8"/>
    <s v="Azules - 5924"/>
    <n v="12"/>
    <x v="0"/>
    <n v="88"/>
    <n v="76"/>
    <x v="2"/>
    <n v="120"/>
    <x v="6"/>
    <n v="1"/>
    <x v="0"/>
    <x v="0"/>
  </r>
  <r>
    <x v="10"/>
    <x v="11"/>
    <x v="11"/>
    <x v="11"/>
    <s v="16,2"/>
    <s v="Blancas - 5710"/>
    <n v="16"/>
    <x v="0"/>
    <n v="91"/>
    <n v="75"/>
    <x v="2"/>
    <n v="130"/>
    <x v="6"/>
    <n v="1"/>
    <x v="0"/>
    <x v="0"/>
  </r>
  <r>
    <x v="10"/>
    <x v="0"/>
    <x v="0"/>
    <x v="0"/>
    <s v="17,8"/>
    <s v="Azules - 5924"/>
    <s v="19"/>
    <x v="0"/>
    <n v="100"/>
    <n v="81"/>
    <x v="2"/>
    <n v="90"/>
    <x v="6"/>
    <n v="1"/>
    <x v="0"/>
    <x v="0"/>
  </r>
  <r>
    <x v="10"/>
    <x v="26"/>
    <x v="25"/>
    <x v="25"/>
    <s v="17,6"/>
    <s v="Azules - 5924"/>
    <s v="19"/>
    <x v="0"/>
    <n v="88"/>
    <n v="69"/>
    <x v="2"/>
    <n v="180"/>
    <x v="30"/>
    <n v="1"/>
    <x v="0"/>
    <x v="0"/>
  </r>
  <r>
    <x v="10"/>
    <x v="21"/>
    <x v="20"/>
    <x v="21"/>
    <n v="19.5"/>
    <s v="Blancas - 5710"/>
    <n v="19"/>
    <x v="0"/>
    <n v="107"/>
    <n v="88"/>
    <x v="2"/>
    <n v="80"/>
    <x v="6"/>
    <n v="1"/>
    <x v="0"/>
    <x v="0"/>
  </r>
  <r>
    <x v="10"/>
    <x v="1"/>
    <x v="1"/>
    <x v="1"/>
    <s v="23,1"/>
    <s v="Blancas - 5710"/>
    <s v="23"/>
    <x v="0"/>
    <n v="96"/>
    <n v="73"/>
    <x v="2"/>
    <n v="160"/>
    <x v="6"/>
    <n v="1"/>
    <x v="0"/>
    <x v="0"/>
  </r>
  <r>
    <x v="10"/>
    <x v="8"/>
    <x v="8"/>
    <x v="8"/>
    <n v="24.4"/>
    <s v="Blancas - 5710"/>
    <n v="25"/>
    <x v="0"/>
    <n v="114"/>
    <n v="89"/>
    <x v="2"/>
    <n v="70"/>
    <x v="6"/>
    <n v="1"/>
    <x v="0"/>
    <x v="0"/>
  </r>
  <r>
    <x v="10"/>
    <x v="13"/>
    <x v="13"/>
    <x v="13"/>
    <s v="24,8"/>
    <s v="Blancas - 5710"/>
    <s v="25"/>
    <x v="0"/>
    <n v="105"/>
    <n v="80"/>
    <x v="2"/>
    <n v="100"/>
    <x v="6"/>
    <n v="1"/>
    <x v="0"/>
    <x v="0"/>
  </r>
  <r>
    <x v="10"/>
    <x v="15"/>
    <x v="15"/>
    <x v="15"/>
    <n v="27"/>
    <s v="Blancas - 5710"/>
    <s v="28"/>
    <x v="0"/>
    <n v="94"/>
    <n v="66"/>
    <x v="2"/>
    <n v="200"/>
    <x v="10"/>
    <n v="1"/>
    <x v="0"/>
    <x v="0"/>
  </r>
  <r>
    <x v="10"/>
    <x v="3"/>
    <x v="3"/>
    <x v="3"/>
    <s v="15,4"/>
    <s v="Blancas - 5710"/>
    <n v="15"/>
    <x v="0"/>
    <n v="93"/>
    <n v="78"/>
    <x v="2"/>
    <n v="110"/>
    <x v="6"/>
    <n v="1"/>
    <x v="0"/>
    <x v="0"/>
  </r>
  <r>
    <x v="10"/>
    <x v="16"/>
    <x v="16"/>
    <x v="16"/>
    <s v="18,7"/>
    <s v="Blancas - 5710"/>
    <s v="18"/>
    <x v="0"/>
    <n v="92"/>
    <n v="74"/>
    <x v="2"/>
    <n v="140"/>
    <x v="6"/>
    <n v="1"/>
    <x v="0"/>
    <x v="0"/>
  </r>
  <r>
    <x v="10"/>
    <x v="6"/>
    <x v="6"/>
    <x v="6"/>
    <s v="19,2"/>
    <s v="Blancas - 5710"/>
    <s v="19"/>
    <x v="0"/>
    <n v="86"/>
    <n v="67"/>
    <x v="2"/>
    <n v="190"/>
    <x v="11"/>
    <n v="1"/>
    <x v="0"/>
    <x v="0"/>
  </r>
  <r>
    <x v="10"/>
    <x v="20"/>
    <x v="19"/>
    <x v="20"/>
    <s v="18,3"/>
    <s v="Blancas - 5710"/>
    <s v="18"/>
    <x v="0"/>
    <n v="91"/>
    <n v="73"/>
    <x v="2"/>
    <n v="150"/>
    <x v="6"/>
    <n v="1"/>
    <x v="0"/>
    <x v="0"/>
  </r>
  <r>
    <x v="11"/>
    <x v="1"/>
    <x v="1"/>
    <x v="1"/>
    <s v="23,1"/>
    <s v="Blancas - 5710"/>
    <s v="23"/>
    <x v="0"/>
    <n v="101"/>
    <n v="78"/>
    <x v="2"/>
    <n v="110"/>
    <x v="6"/>
    <n v="1"/>
    <x v="0"/>
    <x v="0"/>
  </r>
  <r>
    <x v="11"/>
    <x v="11"/>
    <x v="11"/>
    <x v="11"/>
    <s v="16,2"/>
    <s v="Blancas - 5710"/>
    <n v="16"/>
    <x v="0"/>
    <n v="84"/>
    <n v="68"/>
    <x v="2"/>
    <n v="180"/>
    <x v="15"/>
    <n v="1"/>
    <x v="0"/>
    <x v="0"/>
  </r>
  <r>
    <x v="11"/>
    <x v="9"/>
    <x v="9"/>
    <x v="9"/>
    <s v="9,8"/>
    <s v="Azules - 5924"/>
    <n v="10"/>
    <x v="0"/>
    <n v="84"/>
    <n v="74"/>
    <x v="2"/>
    <n v="150"/>
    <x v="6"/>
    <n v="1"/>
    <x v="0"/>
    <x v="5"/>
  </r>
  <r>
    <x v="11"/>
    <x v="18"/>
    <x v="18"/>
    <x v="18"/>
    <n v="11.8"/>
    <s v="Azules - 5924"/>
    <n v="12"/>
    <x v="0"/>
    <n v="84"/>
    <n v="72"/>
    <x v="2"/>
    <n v="160"/>
    <x v="6"/>
    <n v="1"/>
    <x v="0"/>
    <x v="0"/>
  </r>
  <r>
    <x v="11"/>
    <x v="3"/>
    <x v="3"/>
    <x v="3"/>
    <s v="15,4"/>
    <s v="Blancas - 5710"/>
    <n v="15"/>
    <x v="0"/>
    <n v="85"/>
    <n v="70"/>
    <x v="2"/>
    <n v="170"/>
    <x v="31"/>
    <n v="1"/>
    <x v="0"/>
    <x v="0"/>
  </r>
  <r>
    <x v="11"/>
    <x v="4"/>
    <x v="4"/>
    <x v="4"/>
    <s v="11,3"/>
    <s v="Azules - 5924"/>
    <s v="11"/>
    <x v="0"/>
    <n v="87"/>
    <n v="76"/>
    <x v="2"/>
    <n v="130"/>
    <x v="6"/>
    <n v="1"/>
    <x v="0"/>
    <x v="0"/>
  </r>
  <r>
    <x v="11"/>
    <x v="13"/>
    <x v="13"/>
    <x v="13"/>
    <s v="24,8"/>
    <s v="Blancas - 5710"/>
    <s v="25"/>
    <x v="0"/>
    <n v="97"/>
    <n v="72"/>
    <x v="2"/>
    <n v="160"/>
    <x v="6"/>
    <n v="1"/>
    <x v="0"/>
    <x v="0"/>
  </r>
  <r>
    <x v="11"/>
    <x v="8"/>
    <x v="8"/>
    <x v="8"/>
    <n v="24.4"/>
    <s v="Blancas - 5710"/>
    <n v="25"/>
    <x v="0"/>
    <n v="102"/>
    <n v="77"/>
    <x v="2"/>
    <n v="120"/>
    <x v="6"/>
    <n v="1"/>
    <x v="0"/>
    <x v="0"/>
  </r>
  <r>
    <x v="11"/>
    <x v="15"/>
    <x v="15"/>
    <x v="15"/>
    <n v="27"/>
    <s v="Blancas - 5710"/>
    <s v="28"/>
    <x v="0"/>
    <n v="105"/>
    <n v="77"/>
    <x v="2"/>
    <n v="120"/>
    <x v="6"/>
    <n v="1"/>
    <x v="0"/>
    <x v="0"/>
  </r>
  <r>
    <x v="11"/>
    <x v="6"/>
    <x v="6"/>
    <x v="6"/>
    <s v="19,2"/>
    <s v="Blancas - 5710"/>
    <s v="19"/>
    <x v="0"/>
    <n v="91"/>
    <n v="72"/>
    <x v="2"/>
    <n v="160"/>
    <x v="6"/>
    <n v="1"/>
    <x v="0"/>
    <x v="0"/>
  </r>
  <r>
    <x v="11"/>
    <x v="26"/>
    <x v="25"/>
    <x v="25"/>
    <s v="17,6"/>
    <s v="Azules - 5924"/>
    <s v="19"/>
    <x v="0"/>
    <n v="89"/>
    <n v="70"/>
    <x v="2"/>
    <n v="170"/>
    <x v="31"/>
    <n v="1"/>
    <x v="0"/>
    <x v="0"/>
  </r>
  <r>
    <x v="11"/>
    <x v="25"/>
    <x v="24"/>
    <x v="24"/>
    <s v="11,9"/>
    <s v="Azules - 5924"/>
    <s v="12"/>
    <x v="0"/>
    <n v="79"/>
    <n v="67"/>
    <x v="2"/>
    <n v="190"/>
    <x v="11"/>
    <n v="1"/>
    <x v="0"/>
    <x v="0"/>
  </r>
  <r>
    <x v="11"/>
    <x v="2"/>
    <x v="2"/>
    <x v="2"/>
    <s v="11,4"/>
    <s v="Azules - 5924"/>
    <s v="12"/>
    <x v="0"/>
    <n v="87"/>
    <n v="75"/>
    <x v="2"/>
    <n v="140"/>
    <x v="6"/>
    <n v="1"/>
    <x v="0"/>
    <x v="0"/>
  </r>
  <r>
    <x v="11"/>
    <x v="19"/>
    <x v="10"/>
    <x v="19"/>
    <s v="10,2"/>
    <s v="Azules - 5924"/>
    <s v="10"/>
    <x v="0"/>
    <n v="82"/>
    <n v="72"/>
    <x v="2"/>
    <n v="160"/>
    <x v="6"/>
    <n v="1"/>
    <x v="0"/>
    <x v="0"/>
  </r>
  <r>
    <x v="11"/>
    <x v="7"/>
    <x v="7"/>
    <x v="7"/>
    <s v="9,9"/>
    <s v="Azules - 5924"/>
    <s v="10"/>
    <x v="0"/>
    <n v="74"/>
    <n v="64"/>
    <x v="2"/>
    <n v="200"/>
    <x v="10"/>
    <n v="1"/>
    <x v="0"/>
    <x v="0"/>
  </r>
  <r>
    <x v="11"/>
    <x v="10"/>
    <x v="10"/>
    <x v="10"/>
    <s v="13"/>
    <s v="Azules - 5924"/>
    <s v="14"/>
    <x v="0"/>
    <n v="95"/>
    <n v="81"/>
    <x v="2"/>
    <n v="100"/>
    <x v="6"/>
    <n v="1"/>
    <x v="0"/>
    <x v="0"/>
  </r>
  <r>
    <x v="12"/>
    <x v="15"/>
    <x v="15"/>
    <x v="15"/>
    <n v="27"/>
    <s v="Blancas - 5710"/>
    <s v="28"/>
    <x v="0"/>
    <n v="110"/>
    <n v="82"/>
    <x v="2"/>
    <n v="110"/>
    <x v="6"/>
    <n v="1"/>
    <x v="0"/>
    <x v="0"/>
  </r>
  <r>
    <x v="12"/>
    <x v="0"/>
    <x v="0"/>
    <x v="0"/>
    <s v="17,8"/>
    <s v="Azules - 5924"/>
    <s v="19"/>
    <x v="0"/>
    <n v="90"/>
    <n v="71"/>
    <x v="5"/>
    <n v="200"/>
    <x v="11"/>
    <n v="1"/>
    <x v="0"/>
    <x v="8"/>
  </r>
  <r>
    <x v="12"/>
    <x v="4"/>
    <x v="4"/>
    <x v="4"/>
    <s v="11,3"/>
    <s v="Azules - 5924"/>
    <s v="11"/>
    <x v="0"/>
    <n v="82"/>
    <n v="71"/>
    <x v="5"/>
    <n v="200"/>
    <x v="11"/>
    <n v="1"/>
    <x v="0"/>
    <x v="0"/>
  </r>
  <r>
    <x v="12"/>
    <x v="6"/>
    <x v="6"/>
    <x v="6"/>
    <s v="19,2"/>
    <s v="Blancas - 5710"/>
    <s v="19"/>
    <x v="0"/>
    <n v="92"/>
    <n v="73"/>
    <x v="2"/>
    <n v="190"/>
    <x v="36"/>
    <n v="1"/>
    <x v="0"/>
    <x v="0"/>
  </r>
  <r>
    <x v="12"/>
    <x v="11"/>
    <x v="11"/>
    <x v="11"/>
    <s v="16,2"/>
    <s v="Blancas - 5710"/>
    <n v="16"/>
    <x v="0"/>
    <n v="94"/>
    <n v="78"/>
    <x v="5"/>
    <n v="150"/>
    <x v="6"/>
    <n v="1"/>
    <x v="0"/>
    <x v="0"/>
  </r>
  <r>
    <x v="12"/>
    <x v="16"/>
    <x v="16"/>
    <x v="16"/>
    <s v="18,7"/>
    <s v="Blancas - 5710"/>
    <s v="18"/>
    <x v="0"/>
    <n v="96"/>
    <n v="78"/>
    <x v="2"/>
    <n v="150"/>
    <x v="6"/>
    <n v="1"/>
    <x v="0"/>
    <x v="0"/>
  </r>
  <r>
    <x v="12"/>
    <x v="3"/>
    <x v="3"/>
    <x v="3"/>
    <s v="15,4"/>
    <s v="Blancas - 5710"/>
    <n v="15"/>
    <x v="0"/>
    <n v="94"/>
    <n v="79"/>
    <x v="2"/>
    <n v="140"/>
    <x v="6"/>
    <n v="1"/>
    <x v="0"/>
    <x v="0"/>
  </r>
  <r>
    <x v="12"/>
    <x v="9"/>
    <x v="9"/>
    <x v="9"/>
    <s v="9,8"/>
    <s v="Azules - 5924"/>
    <n v="10"/>
    <x v="0"/>
    <n v="85"/>
    <n v="75"/>
    <x v="5"/>
    <n v="180"/>
    <x v="6"/>
    <n v="1"/>
    <x v="0"/>
    <x v="0"/>
  </r>
  <r>
    <x v="12"/>
    <x v="24"/>
    <x v="23"/>
    <x v="23"/>
    <s v="8,3"/>
    <s v="Azules - 5924"/>
    <s v="8"/>
    <x v="0"/>
    <n v="89"/>
    <n v="81"/>
    <x v="2"/>
    <n v="120"/>
    <x v="6"/>
    <n v="1"/>
    <x v="0"/>
    <x v="0"/>
  </r>
  <r>
    <x v="12"/>
    <x v="19"/>
    <x v="10"/>
    <x v="19"/>
    <s v="10,2"/>
    <s v="Azules - 5924"/>
    <n v="10"/>
    <x v="0"/>
    <n v="81"/>
    <n v="71"/>
    <x v="2"/>
    <n v="200"/>
    <x v="11"/>
    <n v="1"/>
    <x v="0"/>
    <x v="0"/>
  </r>
  <r>
    <x v="12"/>
    <x v="7"/>
    <x v="7"/>
    <x v="7"/>
    <s v="9,9"/>
    <s v="Azules - 5924"/>
    <s v="10"/>
    <x v="0"/>
    <n v="90"/>
    <n v="80"/>
    <x v="2"/>
    <n v="130"/>
    <x v="6"/>
    <n v="1"/>
    <x v="0"/>
    <x v="0"/>
  </r>
  <r>
    <x v="12"/>
    <x v="10"/>
    <x v="10"/>
    <x v="10"/>
    <s v="13"/>
    <s v="Azules - 5924"/>
    <s v="14"/>
    <x v="0"/>
    <n v="99"/>
    <n v="85"/>
    <x v="2"/>
    <n v="100"/>
    <x v="6"/>
    <n v="1"/>
    <x v="0"/>
    <x v="0"/>
  </r>
  <r>
    <x v="12"/>
    <x v="2"/>
    <x v="2"/>
    <x v="2"/>
    <s v="11,4"/>
    <s v="Azules - 5924"/>
    <n v="12"/>
    <x v="0"/>
    <n v="92"/>
    <n v="80"/>
    <x v="2"/>
    <n v="130"/>
    <x v="6"/>
    <n v="1"/>
    <x v="0"/>
    <x v="0"/>
  </r>
  <r>
    <x v="12"/>
    <x v="14"/>
    <x v="14"/>
    <x v="14"/>
    <s v="17,1"/>
    <s v="Azules - 5924"/>
    <s v="19"/>
    <x v="0"/>
    <n v="95"/>
    <n v="76"/>
    <x v="2"/>
    <n v="170"/>
    <x v="6"/>
    <n v="1"/>
    <x v="0"/>
    <x v="0"/>
  </r>
  <r>
    <x v="12"/>
    <x v="13"/>
    <x v="13"/>
    <x v="13"/>
    <s v="24,8"/>
    <s v="Blancas - 5710"/>
    <s v="25"/>
    <x v="0"/>
    <n v="111"/>
    <n v="86"/>
    <x v="2"/>
    <n v="90"/>
    <x v="6"/>
    <n v="1"/>
    <x v="0"/>
    <x v="0"/>
  </r>
  <r>
    <x v="12"/>
    <x v="52"/>
    <x v="50"/>
    <x v="48"/>
    <n v="8.1999999999999993"/>
    <s v="Azules - 5924"/>
    <n v="8"/>
    <x v="0"/>
    <n v="85"/>
    <n v="77"/>
    <x v="2"/>
    <n v="160"/>
    <x v="6"/>
    <n v="1"/>
    <x v="0"/>
    <x v="0"/>
  </r>
  <r>
    <x v="13"/>
    <x v="1"/>
    <x v="1"/>
    <x v="1"/>
    <n v="23.8"/>
    <s v="Blancas - 5710"/>
    <n v="24"/>
    <x v="0"/>
    <n v="103"/>
    <n v="79"/>
    <x v="5"/>
    <n v="140"/>
    <x v="6"/>
    <n v="1"/>
    <x v="0"/>
    <x v="0"/>
  </r>
  <r>
    <x v="13"/>
    <x v="0"/>
    <x v="0"/>
    <x v="0"/>
    <n v="17.600000000000001"/>
    <s v="Azules - 5924"/>
    <n v="19"/>
    <x v="0"/>
    <n v="99"/>
    <n v="80"/>
    <x v="2"/>
    <n v="130"/>
    <x v="6"/>
    <n v="1"/>
    <x v="0"/>
    <x v="9"/>
  </r>
  <r>
    <x v="13"/>
    <x v="11"/>
    <x v="11"/>
    <x v="11"/>
    <n v="16.7"/>
    <s v="Blancas - 5710"/>
    <n v="16"/>
    <x v="0"/>
    <n v="87"/>
    <n v="71"/>
    <x v="5"/>
    <n v="170"/>
    <x v="6"/>
    <n v="1"/>
    <x v="0"/>
    <x v="0"/>
  </r>
  <r>
    <x v="13"/>
    <x v="16"/>
    <x v="16"/>
    <x v="16"/>
    <n v="18.399999999999999"/>
    <s v="Blancas - 5710"/>
    <n v="18"/>
    <x v="0"/>
    <n v="88"/>
    <n v="70"/>
    <x v="2"/>
    <n v="180"/>
    <x v="35"/>
    <n v="1"/>
    <x v="0"/>
    <x v="0"/>
  </r>
  <r>
    <x v="13"/>
    <x v="28"/>
    <x v="27"/>
    <x v="27"/>
    <n v="14.7"/>
    <s v="Azules - 5924"/>
    <n v="16"/>
    <x v="0"/>
    <n v="89"/>
    <n v="73"/>
    <x v="5"/>
    <n v="160"/>
    <x v="6"/>
    <n v="1"/>
    <x v="0"/>
    <x v="0"/>
  </r>
  <r>
    <x v="13"/>
    <x v="20"/>
    <x v="19"/>
    <x v="20"/>
    <n v="21.5"/>
    <s v="Blancas - 5710"/>
    <n v="22"/>
    <x v="0"/>
    <n v="103"/>
    <n v="81"/>
    <x v="2"/>
    <n v="120"/>
    <x v="6"/>
    <n v="1"/>
    <x v="0"/>
    <x v="0"/>
  </r>
  <r>
    <x v="13"/>
    <x v="8"/>
    <x v="8"/>
    <x v="8"/>
    <n v="26.1"/>
    <s v="Blancas - 5710"/>
    <n v="27"/>
    <x v="0"/>
    <n v="97"/>
    <n v="70"/>
    <x v="2"/>
    <n v="180"/>
    <x v="35"/>
    <n v="1"/>
    <x v="0"/>
    <x v="0"/>
  </r>
  <r>
    <x v="13"/>
    <x v="4"/>
    <x v="4"/>
    <x v="4"/>
    <n v="11.2"/>
    <s v="Azules - 5924"/>
    <n v="11"/>
    <x v="0"/>
    <n v="86"/>
    <n v="75"/>
    <x v="2"/>
    <n v="150"/>
    <x v="6"/>
    <n v="1"/>
    <x v="0"/>
    <x v="0"/>
  </r>
  <r>
    <x v="13"/>
    <x v="15"/>
    <x v="15"/>
    <x v="15"/>
    <n v="27.3"/>
    <s v="Blancas - 5710"/>
    <n v="28"/>
    <x v="0"/>
    <n v="97"/>
    <n v="69"/>
    <x v="2"/>
    <n v="190"/>
    <x v="36"/>
    <n v="1"/>
    <x v="0"/>
    <x v="0"/>
  </r>
  <r>
    <x v="13"/>
    <x v="13"/>
    <x v="13"/>
    <x v="13"/>
    <n v="25.4"/>
    <s v="Blancas - 5710"/>
    <n v="26"/>
    <x v="0"/>
    <n v="110"/>
    <n v="84"/>
    <x v="2"/>
    <n v="110"/>
    <x v="6"/>
    <n v="1"/>
    <x v="0"/>
    <x v="0"/>
  </r>
  <r>
    <x v="13"/>
    <x v="31"/>
    <x v="30"/>
    <x v="30"/>
    <n v="22.5"/>
    <s v="Blancas - 5710"/>
    <n v="23"/>
    <x v="0"/>
    <n v="96"/>
    <n v="73"/>
    <x v="2"/>
    <n v="160"/>
    <x v="6"/>
    <n v="1"/>
    <x v="0"/>
    <x v="0"/>
  </r>
  <r>
    <x v="13"/>
    <x v="14"/>
    <x v="14"/>
    <x v="14"/>
    <n v="17.100000000000001"/>
    <s v="Azules - 5924"/>
    <n v="19"/>
    <x v="0"/>
    <n v="94"/>
    <n v="75"/>
    <x v="5"/>
    <n v="150"/>
    <x v="6"/>
    <n v="1"/>
    <x v="0"/>
    <x v="0"/>
  </r>
  <r>
    <x v="13"/>
    <x v="10"/>
    <x v="10"/>
    <x v="10"/>
    <n v="13"/>
    <s v="Azules - 5924"/>
    <n v="14"/>
    <x v="0"/>
    <n v="82"/>
    <n v="68"/>
    <x v="2"/>
    <n v="200"/>
    <x v="11"/>
    <n v="1"/>
    <x v="0"/>
    <x v="0"/>
  </r>
  <r>
    <x v="13"/>
    <x v="44"/>
    <x v="43"/>
    <x v="41"/>
    <s v="19.8"/>
    <s v="Blancas - 5710"/>
    <n v="20"/>
    <x v="0"/>
    <n v="88"/>
    <n v="68"/>
    <x v="2"/>
    <n v="200"/>
    <x v="11"/>
    <n v="1"/>
    <x v="0"/>
    <x v="0"/>
  </r>
  <r>
    <x v="14"/>
    <x v="16"/>
    <x v="16"/>
    <x v="16"/>
    <n v="18.399999999999999"/>
    <s v="Blancas - 5710"/>
    <n v="18"/>
    <x v="0"/>
    <n v="90"/>
    <n v="72"/>
    <x v="2"/>
    <n v="170"/>
    <x v="6"/>
    <n v="1"/>
    <x v="0"/>
    <x v="0"/>
  </r>
  <r>
    <x v="14"/>
    <x v="1"/>
    <x v="1"/>
    <x v="1"/>
    <n v="23.8"/>
    <s v="Blancas - 5710"/>
    <n v="24"/>
    <x v="0"/>
    <n v="105"/>
    <n v="81"/>
    <x v="2"/>
    <n v="120"/>
    <x v="6"/>
    <n v="1"/>
    <x v="0"/>
    <x v="0"/>
  </r>
  <r>
    <x v="14"/>
    <x v="6"/>
    <x v="6"/>
    <x v="6"/>
    <n v="19.2"/>
    <s v="Blancas - 5710"/>
    <n v="20"/>
    <x v="0"/>
    <n v="108"/>
    <n v="88"/>
    <x v="2"/>
    <n v="90"/>
    <x v="6"/>
    <n v="1"/>
    <x v="0"/>
    <x v="0"/>
  </r>
  <r>
    <x v="14"/>
    <x v="20"/>
    <x v="19"/>
    <x v="20"/>
    <n v="21.5"/>
    <s v="Blancas - 5710"/>
    <n v="21"/>
    <x v="0"/>
    <n v="96"/>
    <n v="75"/>
    <x v="2"/>
    <n v="150"/>
    <x v="6"/>
    <n v="1"/>
    <x v="0"/>
    <x v="0"/>
  </r>
  <r>
    <x v="14"/>
    <x v="8"/>
    <x v="8"/>
    <x v="8"/>
    <n v="26.1"/>
    <s v="Blancas - 5710"/>
    <n v="27"/>
    <x v="0"/>
    <n v="113"/>
    <n v="86"/>
    <x v="2"/>
    <n v="100"/>
    <x v="6"/>
    <n v="1"/>
    <x v="0"/>
    <x v="0"/>
  </r>
  <r>
    <x v="14"/>
    <x v="17"/>
    <x v="17"/>
    <x v="17"/>
    <n v="27.2"/>
    <s v="Blancas - 5710"/>
    <n v="28"/>
    <x v="0"/>
    <n v="106"/>
    <n v="78"/>
    <x v="2"/>
    <n v="130"/>
    <x v="6"/>
    <n v="1"/>
    <x v="0"/>
    <x v="0"/>
  </r>
  <r>
    <x v="14"/>
    <x v="13"/>
    <x v="13"/>
    <x v="13"/>
    <n v="25.4"/>
    <s v="Blancas - 5710"/>
    <n v="26"/>
    <x v="0"/>
    <n v="98"/>
    <n v="72"/>
    <x v="5"/>
    <n v="170"/>
    <x v="36"/>
    <n v="1"/>
    <x v="0"/>
    <x v="0"/>
  </r>
  <r>
    <x v="14"/>
    <x v="15"/>
    <x v="15"/>
    <x v="15"/>
    <n v="27.3"/>
    <s v="Blancas - 5710"/>
    <n v="27"/>
    <x v="0"/>
    <n v="92"/>
    <n v="65"/>
    <x v="2"/>
    <n v="200"/>
    <x v="32"/>
    <n v="1"/>
    <x v="0"/>
    <x v="0"/>
  </r>
  <r>
    <x v="14"/>
    <x v="14"/>
    <x v="14"/>
    <x v="14"/>
    <n v="17.100000000000001"/>
    <s v="Azules - 5924"/>
    <n v="17"/>
    <x v="0"/>
    <n v="92"/>
    <n v="75"/>
    <x v="2"/>
    <n v="150"/>
    <x v="6"/>
    <n v="1"/>
    <x v="0"/>
    <x v="0"/>
  </r>
  <r>
    <x v="14"/>
    <x v="0"/>
    <x v="0"/>
    <x v="0"/>
    <n v="17.600000000000001"/>
    <s v="Azules - 5924"/>
    <n v="17"/>
    <x v="0"/>
    <n v="85"/>
    <n v="68"/>
    <x v="5"/>
    <n v="190"/>
    <x v="37"/>
    <n v="1"/>
    <x v="0"/>
    <x v="5"/>
  </r>
  <r>
    <x v="14"/>
    <x v="29"/>
    <x v="28"/>
    <x v="28"/>
    <n v="17.899999999999999"/>
    <s v="Azules - 5924"/>
    <n v="18"/>
    <x v="0"/>
    <n v="92"/>
    <n v="74"/>
    <x v="2"/>
    <n v="160"/>
    <x v="6"/>
    <n v="1"/>
    <x v="0"/>
    <x v="0"/>
  </r>
  <r>
    <x v="14"/>
    <x v="26"/>
    <x v="25"/>
    <x v="25"/>
    <n v="17.600000000000001"/>
    <s v="Azules - 5924"/>
    <n v="17"/>
    <x v="0"/>
    <n v="102"/>
    <n v="85"/>
    <x v="2"/>
    <n v="110"/>
    <x v="6"/>
    <n v="1"/>
    <x v="0"/>
    <x v="0"/>
  </r>
  <r>
    <x v="14"/>
    <x v="9"/>
    <x v="9"/>
    <x v="9"/>
    <n v="9.8000000000000007"/>
    <s v="Blancas - 5710"/>
    <n v="9"/>
    <x v="0"/>
    <n v="85"/>
    <n v="76"/>
    <x v="5"/>
    <n v="140"/>
    <x v="6"/>
    <n v="1"/>
    <x v="0"/>
    <x v="0"/>
  </r>
  <r>
    <x v="14"/>
    <x v="28"/>
    <x v="27"/>
    <x v="27"/>
    <n v="14.7"/>
    <s v="Azules - 5924"/>
    <n v="16"/>
    <x v="0"/>
    <n v="88"/>
    <n v="72"/>
    <x v="4"/>
    <n v="170"/>
    <x v="6"/>
    <n v="1"/>
    <x v="0"/>
    <x v="0"/>
  </r>
  <r>
    <x v="14"/>
    <x v="7"/>
    <x v="7"/>
    <x v="7"/>
    <n v="9.9"/>
    <s v="Azules - 5924"/>
    <n v="12"/>
    <x v="0"/>
    <n v="83"/>
    <n v="71"/>
    <x v="2"/>
    <n v="180"/>
    <x v="15"/>
    <n v="1"/>
    <x v="0"/>
    <x v="0"/>
  </r>
  <r>
    <x v="14"/>
    <x v="24"/>
    <x v="23"/>
    <x v="23"/>
    <n v="8.3000000000000007"/>
    <s v="Azules - 5924"/>
    <n v="8"/>
    <x v="0"/>
    <n v="80"/>
    <n v="72"/>
    <x v="2"/>
    <n v="170"/>
    <x v="6"/>
    <n v="1"/>
    <x v="0"/>
    <x v="0"/>
  </r>
  <r>
    <x v="15"/>
    <x v="0"/>
    <x v="0"/>
    <x v="0"/>
    <n v="16.8"/>
    <s v="Azules - 5924"/>
    <n v="16"/>
    <x v="0"/>
    <n v="91"/>
    <n v="75"/>
    <x v="5"/>
    <n v="160"/>
    <x v="6"/>
    <n v="1"/>
    <x v="0"/>
    <x v="0"/>
  </r>
  <r>
    <x v="15"/>
    <x v="16"/>
    <x v="16"/>
    <x v="16"/>
    <n v="18.899999999999999"/>
    <s v="Blancas - 5710"/>
    <n v="19"/>
    <x v="0"/>
    <n v="99"/>
    <n v="80"/>
    <x v="2"/>
    <n v="110"/>
    <x v="6"/>
    <n v="1"/>
    <x v="0"/>
    <x v="0"/>
  </r>
  <r>
    <x v="15"/>
    <x v="15"/>
    <x v="15"/>
    <x v="15"/>
    <n v="25.8"/>
    <s v="Blancas - 5710"/>
    <n v="26"/>
    <x v="0"/>
    <n v="99"/>
    <n v="73"/>
    <x v="2"/>
    <n v="170"/>
    <x v="38"/>
    <n v="1"/>
    <x v="0"/>
    <x v="0"/>
  </r>
  <r>
    <x v="15"/>
    <x v="4"/>
    <x v="4"/>
    <x v="4"/>
    <n v="11.4"/>
    <s v="Azules - 5924"/>
    <n v="12"/>
    <x v="0"/>
    <n v="80"/>
    <n v="68"/>
    <x v="5"/>
    <n v="190"/>
    <x v="37"/>
    <n v="1"/>
    <x v="0"/>
    <x v="0"/>
  </r>
  <r>
    <x v="15"/>
    <x v="11"/>
    <x v="11"/>
    <x v="11"/>
    <n v="16.399999999999999"/>
    <s v="Blancas - 5710"/>
    <n v="16"/>
    <x v="0"/>
    <n v="95"/>
    <n v="79"/>
    <x v="5"/>
    <n v="120"/>
    <x v="6"/>
    <n v="1"/>
    <x v="0"/>
    <x v="0"/>
  </r>
  <r>
    <x v="15"/>
    <x v="9"/>
    <x v="9"/>
    <x v="9"/>
    <n v="10.9"/>
    <s v="Blancas - 5710"/>
    <n v="10"/>
    <x v="0"/>
    <n v="83"/>
    <n v="73"/>
    <x v="2"/>
    <n v="170"/>
    <x v="38"/>
    <n v="1"/>
    <x v="0"/>
    <x v="0"/>
  </r>
  <r>
    <x v="15"/>
    <x v="7"/>
    <x v="7"/>
    <x v="7"/>
    <n v="10.8"/>
    <s v="Azules - 5924"/>
    <n v="11"/>
    <x v="0"/>
    <n v="87"/>
    <n v="76"/>
    <x v="2"/>
    <n v="150"/>
    <x v="6"/>
    <n v="1"/>
    <x v="0"/>
    <x v="0"/>
  </r>
  <r>
    <x v="15"/>
    <x v="10"/>
    <x v="10"/>
    <x v="10"/>
    <n v="12.7"/>
    <s v="Azules - 5924"/>
    <n v="13"/>
    <x v="0"/>
    <n v="97"/>
    <n v="84"/>
    <x v="5"/>
    <n v="90"/>
    <x v="6"/>
    <n v="1"/>
    <x v="0"/>
    <x v="8"/>
  </r>
  <r>
    <x v="15"/>
    <x v="6"/>
    <x v="6"/>
    <x v="6"/>
    <n v="19.8"/>
    <s v="Blancas - 5710"/>
    <n v="20"/>
    <x v="0"/>
    <n v="103"/>
    <n v="83"/>
    <x v="2"/>
    <n v="100"/>
    <x v="6"/>
    <n v="1"/>
    <x v="0"/>
    <x v="0"/>
  </r>
  <r>
    <x v="15"/>
    <x v="20"/>
    <x v="19"/>
    <x v="20"/>
    <n v="21.2"/>
    <s v="Blancas - 5710"/>
    <n v="21"/>
    <x v="0"/>
    <n v="99"/>
    <n v="78"/>
    <x v="2"/>
    <n v="130"/>
    <x v="6"/>
    <n v="1"/>
    <x v="0"/>
    <x v="0"/>
  </r>
  <r>
    <x v="15"/>
    <x v="1"/>
    <x v="1"/>
    <x v="1"/>
    <n v="24.2"/>
    <s v="Blancas - 5710"/>
    <n v="25"/>
    <x v="0"/>
    <n v="103"/>
    <n v="78"/>
    <x v="2"/>
    <n v="130"/>
    <x v="6"/>
    <n v="1"/>
    <x v="0"/>
    <x v="0"/>
  </r>
  <r>
    <x v="15"/>
    <x v="19"/>
    <x v="10"/>
    <x v="19"/>
    <n v="10.1"/>
    <s v="Azules - 5924"/>
    <n v="10"/>
    <x v="0"/>
    <n v="77"/>
    <n v="67"/>
    <x v="2"/>
    <n v="200"/>
    <x v="32"/>
    <n v="1"/>
    <x v="0"/>
    <x v="0"/>
  </r>
  <r>
    <x v="15"/>
    <x v="3"/>
    <x v="3"/>
    <x v="3"/>
    <n v="15.2"/>
    <s v="Blancas - 5710"/>
    <n v="15"/>
    <x v="0"/>
    <n v="84"/>
    <n v="69"/>
    <x v="2"/>
    <n v="180"/>
    <x v="29"/>
    <n v="1"/>
    <x v="0"/>
    <x v="0"/>
  </r>
  <r>
    <x v="15"/>
    <x v="17"/>
    <x v="17"/>
    <x v="17"/>
    <n v="28.1"/>
    <s v="Blancas - 5710"/>
    <n v="29"/>
    <x v="0"/>
    <n v="113"/>
    <n v="84"/>
    <x v="2"/>
    <n v="90"/>
    <x v="6"/>
    <n v="1"/>
    <x v="0"/>
    <x v="0"/>
  </r>
  <r>
    <x v="15"/>
    <x v="37"/>
    <x v="36"/>
    <x v="35"/>
    <n v="19.5"/>
    <s v="Blancas - 5710"/>
    <n v="19"/>
    <x v="0"/>
    <n v="105"/>
    <n v="86"/>
    <x v="2"/>
    <n v="80"/>
    <x v="6"/>
    <n v="1"/>
    <x v="0"/>
    <x v="0"/>
  </r>
  <r>
    <x v="15"/>
    <x v="44"/>
    <x v="43"/>
    <x v="41"/>
    <n v="19.8"/>
    <s v="Blancas - 5710"/>
    <n v="20"/>
    <x v="0"/>
    <n v="97"/>
    <n v="77"/>
    <x v="2"/>
    <n v="140"/>
    <x v="6"/>
    <n v="1"/>
    <x v="0"/>
    <x v="0"/>
  </r>
  <r>
    <x v="16"/>
    <x v="11"/>
    <x v="11"/>
    <x v="11"/>
    <n v="16.399999999999999"/>
    <s v="Blancas - 5710"/>
    <n v="16"/>
    <x v="0"/>
    <n v="88"/>
    <n v="72"/>
    <x v="2"/>
    <n v="190"/>
    <x v="29"/>
    <n v="1"/>
    <x v="0"/>
    <x v="0"/>
  </r>
  <r>
    <x v="16"/>
    <x v="9"/>
    <x v="9"/>
    <x v="9"/>
    <n v="10.9"/>
    <s v="Blancas - 5710"/>
    <n v="10"/>
    <x v="0"/>
    <n v="82"/>
    <n v="72"/>
    <x v="2"/>
    <n v="190"/>
    <x v="29"/>
    <n v="1"/>
    <x v="0"/>
    <x v="0"/>
  </r>
  <r>
    <x v="16"/>
    <x v="6"/>
    <x v="6"/>
    <x v="6"/>
    <n v="19.8"/>
    <s v="Blancas - 5710"/>
    <n v="20"/>
    <x v="0"/>
    <n v="97"/>
    <n v="77"/>
    <x v="2"/>
    <n v="160"/>
    <x v="6"/>
    <n v="1"/>
    <x v="0"/>
    <x v="0"/>
  </r>
  <r>
    <x v="16"/>
    <x v="0"/>
    <x v="0"/>
    <x v="0"/>
    <n v="16.8"/>
    <s v="Azules - 5924"/>
    <n v="16"/>
    <x v="0"/>
    <n v="92"/>
    <n v="76"/>
    <x v="5"/>
    <n v="170"/>
    <x v="6"/>
    <n v="1"/>
    <x v="0"/>
    <x v="8"/>
  </r>
  <r>
    <x v="16"/>
    <x v="21"/>
    <x v="20"/>
    <x v="21"/>
    <n v="19.5"/>
    <s v="Blancas - 5710"/>
    <n v="19"/>
    <x v="0"/>
    <n v="94"/>
    <n v="75"/>
    <x v="5"/>
    <n v="170"/>
    <x v="6"/>
    <n v="1"/>
    <x v="0"/>
    <x v="0"/>
  </r>
  <r>
    <x v="16"/>
    <x v="4"/>
    <x v="4"/>
    <x v="4"/>
    <n v="11.4"/>
    <s v="Azules - 5924"/>
    <n v="12"/>
    <x v="0"/>
    <n v="91"/>
    <n v="79"/>
    <x v="2"/>
    <n v="150"/>
    <x v="6"/>
    <n v="1"/>
    <x v="0"/>
    <x v="0"/>
  </r>
  <r>
    <x v="16"/>
    <x v="14"/>
    <x v="14"/>
    <x v="14"/>
    <n v="17.100000000000001"/>
    <s v="Azules - 5924"/>
    <n v="17"/>
    <x v="0"/>
    <n v="85"/>
    <n v="68"/>
    <x v="2"/>
    <n v="200"/>
    <x v="32"/>
    <n v="1"/>
    <x v="0"/>
    <x v="0"/>
  </r>
  <r>
    <x v="16"/>
    <x v="33"/>
    <x v="32"/>
    <x v="32"/>
    <n v="24.6"/>
    <s v="Blancas - 5710"/>
    <n v="25"/>
    <x v="0"/>
    <n v="102"/>
    <n v="77"/>
    <x v="2"/>
    <n v="160"/>
    <x v="6"/>
    <n v="1"/>
    <x v="0"/>
    <x v="0"/>
  </r>
  <r>
    <x v="16"/>
    <x v="8"/>
    <x v="8"/>
    <x v="8"/>
    <n v="26.1"/>
    <s v="Blancas - 5710"/>
    <n v="27"/>
    <x v="0"/>
    <n v="101"/>
    <n v="74"/>
    <x v="2"/>
    <n v="180"/>
    <x v="6"/>
    <n v="1"/>
    <x v="0"/>
    <x v="0"/>
  </r>
  <r>
    <x v="16"/>
    <x v="1"/>
    <x v="1"/>
    <x v="1"/>
    <n v="24.2"/>
    <s v="Blancas - 5710"/>
    <n v="25"/>
    <x v="0"/>
    <n v="99"/>
    <n v="74"/>
    <x v="2"/>
    <n v="180"/>
    <x v="6"/>
    <n v="1"/>
    <x v="0"/>
    <x v="0"/>
  </r>
  <r>
    <x v="16"/>
    <x v="7"/>
    <x v="7"/>
    <x v="7"/>
    <n v="10.8"/>
    <s v="Azules - 5924"/>
    <n v="11"/>
    <x v="0"/>
    <n v="92"/>
    <n v="81"/>
    <x v="2"/>
    <n v="140"/>
    <x v="6"/>
    <n v="1"/>
    <x v="0"/>
    <x v="0"/>
  </r>
  <r>
    <x v="16"/>
    <x v="29"/>
    <x v="28"/>
    <x v="49"/>
    <n v="17.899999999999999"/>
    <s v="Azules - 5924"/>
    <n v="18"/>
    <x v="0"/>
    <n v="90"/>
    <n v="72"/>
    <x v="2"/>
    <n v="190"/>
    <x v="29"/>
    <n v="1"/>
    <x v="0"/>
    <x v="0"/>
  </r>
  <r>
    <x v="16"/>
    <x v="27"/>
    <x v="26"/>
    <x v="26"/>
    <n v="23.6"/>
    <s v="Blanca"/>
    <n v="24"/>
    <x v="0"/>
    <n v="101"/>
    <n v="77"/>
    <x v="2"/>
    <n v="160"/>
    <x v="6"/>
    <n v="1"/>
    <x v="0"/>
    <x v="0"/>
  </r>
  <r>
    <x v="16"/>
    <x v="20"/>
    <x v="19"/>
    <x v="20"/>
    <n v="21.2"/>
    <s v="Blancas - 5710"/>
    <n v="21"/>
    <x v="0"/>
    <n v="117"/>
    <n v="96"/>
    <x v="2"/>
    <n v="110"/>
    <x v="6"/>
    <n v="1"/>
    <x v="0"/>
    <x v="0"/>
  </r>
  <r>
    <x v="16"/>
    <x v="17"/>
    <x v="17"/>
    <x v="17"/>
    <n v="27.2"/>
    <s v="Blancas - 5710"/>
    <n v="28"/>
    <x v="0"/>
    <n v="111"/>
    <n v="83"/>
    <x v="2"/>
    <n v="130"/>
    <x v="6"/>
    <n v="1"/>
    <x v="0"/>
    <x v="0"/>
  </r>
  <r>
    <x v="16"/>
    <x v="15"/>
    <x v="15"/>
    <x v="15"/>
    <n v="25.8"/>
    <s v="Blancas - 5710"/>
    <n v="26"/>
    <x v="0"/>
    <n v="111"/>
    <n v="85"/>
    <x v="2"/>
    <n v="120"/>
    <x v="6"/>
    <n v="1"/>
    <x v="0"/>
    <x v="0"/>
  </r>
  <r>
    <x v="17"/>
    <x v="11"/>
    <x v="11"/>
    <x v="11"/>
    <n v="16.399999999999999"/>
    <s v="Blancas - 5710"/>
    <n v="16"/>
    <x v="0"/>
    <n v="86"/>
    <n v="70"/>
    <x v="5"/>
    <n v="190"/>
    <x v="12"/>
    <n v="1"/>
    <x v="0"/>
    <x v="0"/>
  </r>
  <r>
    <x v="17"/>
    <x v="8"/>
    <x v="8"/>
    <x v="8"/>
    <n v="26.1"/>
    <s v="Blancas - 5710"/>
    <n v="27"/>
    <x v="0"/>
    <n v="98"/>
    <n v="71"/>
    <x v="2"/>
    <n v="180"/>
    <x v="26"/>
    <n v="1"/>
    <x v="0"/>
    <x v="0"/>
  </r>
  <r>
    <x v="17"/>
    <x v="1"/>
    <x v="1"/>
    <x v="1"/>
    <n v="24.2"/>
    <s v="Blancas - 5710"/>
    <n v="25"/>
    <x v="0"/>
    <n v="93"/>
    <n v="68"/>
    <x v="2"/>
    <n v="200"/>
    <x v="25"/>
    <n v="1"/>
    <x v="0"/>
    <x v="0"/>
  </r>
  <r>
    <x v="17"/>
    <x v="6"/>
    <x v="6"/>
    <x v="6"/>
    <n v="19.8"/>
    <s v="Blancas - 5710"/>
    <n v="20"/>
    <x v="0"/>
    <n v="95"/>
    <n v="75"/>
    <x v="2"/>
    <n v="170"/>
    <x v="6"/>
    <n v="1"/>
    <x v="0"/>
    <x v="0"/>
  </r>
  <r>
    <x v="17"/>
    <x v="14"/>
    <x v="14"/>
    <x v="14"/>
    <n v="17.100000000000001"/>
    <s v="Azules - 5924"/>
    <n v="16"/>
    <x v="0"/>
    <n v="94"/>
    <n v="78"/>
    <x v="2"/>
    <n v="160"/>
    <x v="6"/>
    <n v="1"/>
    <x v="0"/>
    <x v="0"/>
  </r>
  <r>
    <x v="17"/>
    <x v="7"/>
    <x v="7"/>
    <x v="7"/>
    <n v="10.8"/>
    <s v="Azules - 5924"/>
    <n v="11"/>
    <x v="0"/>
    <n v="89"/>
    <n v="78"/>
    <x v="2"/>
    <n v="160"/>
    <x v="6"/>
    <n v="1"/>
    <x v="0"/>
    <x v="0"/>
  </r>
  <r>
    <x v="17"/>
    <x v="4"/>
    <x v="4"/>
    <x v="4"/>
    <n v="11.4"/>
    <s v="Azules - 5924"/>
    <n v="11"/>
    <x v="0"/>
    <n v="82"/>
    <n v="71"/>
    <x v="2"/>
    <n v="180"/>
    <x v="26"/>
    <n v="1"/>
    <x v="0"/>
    <x v="0"/>
  </r>
  <r>
    <x v="17"/>
    <x v="0"/>
    <x v="0"/>
    <x v="0"/>
    <n v="16.8"/>
    <s v="Azules - 5924"/>
    <n v="16"/>
    <x v="0"/>
    <n v="96"/>
    <n v="80"/>
    <x v="5"/>
    <n v="150"/>
    <x v="6"/>
    <n v="1"/>
    <x v="0"/>
    <x v="10"/>
  </r>
  <r>
    <x v="18"/>
    <x v="0"/>
    <x v="0"/>
    <x v="0"/>
    <n v="16.8"/>
    <m/>
    <m/>
    <x v="0"/>
    <m/>
    <m/>
    <x v="2"/>
    <m/>
    <x v="6"/>
    <m/>
    <x v="0"/>
    <x v="7"/>
  </r>
  <r>
    <x v="19"/>
    <x v="11"/>
    <x v="11"/>
    <x v="11"/>
    <m/>
    <m/>
    <m/>
    <x v="0"/>
    <m/>
    <m/>
    <x v="2"/>
    <m/>
    <x v="6"/>
    <m/>
    <x v="0"/>
    <x v="0"/>
  </r>
  <r>
    <x v="19"/>
    <x v="53"/>
    <x v="51"/>
    <x v="50"/>
    <m/>
    <m/>
    <m/>
    <x v="0"/>
    <m/>
    <m/>
    <x v="2"/>
    <m/>
    <x v="6"/>
    <m/>
    <x v="0"/>
    <x v="0"/>
  </r>
  <r>
    <x v="19"/>
    <x v="6"/>
    <x v="6"/>
    <x v="6"/>
    <m/>
    <m/>
    <m/>
    <x v="0"/>
    <m/>
    <m/>
    <x v="2"/>
    <m/>
    <x v="6"/>
    <m/>
    <x v="0"/>
    <x v="0"/>
  </r>
  <r>
    <x v="19"/>
    <x v="0"/>
    <x v="0"/>
    <x v="0"/>
    <m/>
    <m/>
    <m/>
    <x v="0"/>
    <m/>
    <m/>
    <x v="2"/>
    <m/>
    <x v="6"/>
    <m/>
    <x v="0"/>
    <x v="0"/>
  </r>
  <r>
    <x v="19"/>
    <x v="21"/>
    <x v="20"/>
    <x v="21"/>
    <m/>
    <m/>
    <m/>
    <x v="0"/>
    <m/>
    <m/>
    <x v="2"/>
    <m/>
    <x v="6"/>
    <m/>
    <x v="0"/>
    <x v="0"/>
  </r>
  <r>
    <x v="19"/>
    <x v="33"/>
    <x v="32"/>
    <x v="32"/>
    <m/>
    <m/>
    <m/>
    <x v="0"/>
    <m/>
    <m/>
    <x v="2"/>
    <m/>
    <x v="6"/>
    <m/>
    <x v="0"/>
    <x v="0"/>
  </r>
  <r>
    <x v="19"/>
    <x v="54"/>
    <x v="52"/>
    <x v="51"/>
    <m/>
    <m/>
    <m/>
    <x v="0"/>
    <m/>
    <m/>
    <x v="2"/>
    <m/>
    <x v="6"/>
    <m/>
    <x v="0"/>
    <x v="0"/>
  </r>
  <r>
    <x v="19"/>
    <x v="1"/>
    <x v="1"/>
    <x v="1"/>
    <m/>
    <m/>
    <m/>
    <x v="0"/>
    <m/>
    <m/>
    <x v="2"/>
    <m/>
    <x v="6"/>
    <m/>
    <x v="0"/>
    <x v="0"/>
  </r>
  <r>
    <x v="19"/>
    <x v="7"/>
    <x v="7"/>
    <x v="7"/>
    <m/>
    <m/>
    <m/>
    <x v="0"/>
    <m/>
    <m/>
    <x v="2"/>
    <m/>
    <x v="6"/>
    <m/>
    <x v="0"/>
    <x v="0"/>
  </r>
  <r>
    <x v="19"/>
    <x v="19"/>
    <x v="10"/>
    <x v="19"/>
    <m/>
    <m/>
    <m/>
    <x v="0"/>
    <m/>
    <m/>
    <x v="2"/>
    <m/>
    <x v="6"/>
    <m/>
    <x v="0"/>
    <x v="0"/>
  </r>
  <r>
    <x v="19"/>
    <x v="10"/>
    <x v="10"/>
    <x v="10"/>
    <m/>
    <m/>
    <m/>
    <x v="0"/>
    <m/>
    <m/>
    <x v="2"/>
    <m/>
    <x v="6"/>
    <m/>
    <x v="0"/>
    <x v="0"/>
  </r>
  <r>
    <x v="19"/>
    <x v="18"/>
    <x v="18"/>
    <x v="18"/>
    <m/>
    <m/>
    <m/>
    <x v="0"/>
    <m/>
    <m/>
    <x v="2"/>
    <m/>
    <x v="6"/>
    <m/>
    <x v="0"/>
    <x v="0"/>
  </r>
  <r>
    <x v="19"/>
    <x v="32"/>
    <x v="31"/>
    <x v="31"/>
    <m/>
    <m/>
    <m/>
    <x v="0"/>
    <m/>
    <m/>
    <x v="2"/>
    <m/>
    <x v="6"/>
    <m/>
    <x v="0"/>
    <x v="0"/>
  </r>
  <r>
    <x v="19"/>
    <x v="37"/>
    <x v="36"/>
    <x v="35"/>
    <m/>
    <m/>
    <m/>
    <x v="0"/>
    <m/>
    <m/>
    <x v="2"/>
    <m/>
    <x v="6"/>
    <m/>
    <x v="0"/>
    <x v="0"/>
  </r>
  <r>
    <x v="19"/>
    <x v="55"/>
    <x v="53"/>
    <x v="43"/>
    <m/>
    <m/>
    <m/>
    <x v="0"/>
    <m/>
    <m/>
    <x v="2"/>
    <m/>
    <x v="6"/>
    <m/>
    <x v="0"/>
    <x v="0"/>
  </r>
  <r>
    <x v="19"/>
    <x v="43"/>
    <x v="42"/>
    <x v="40"/>
    <m/>
    <m/>
    <m/>
    <x v="0"/>
    <m/>
    <m/>
    <x v="2"/>
    <m/>
    <x v="6"/>
    <m/>
    <x v="0"/>
    <x v="0"/>
  </r>
  <r>
    <x v="19"/>
    <x v="30"/>
    <x v="29"/>
    <x v="29"/>
    <m/>
    <m/>
    <m/>
    <x v="0"/>
    <m/>
    <m/>
    <x v="2"/>
    <m/>
    <x v="6"/>
    <m/>
    <x v="0"/>
    <x v="0"/>
  </r>
  <r>
    <x v="19"/>
    <x v="56"/>
    <x v="54"/>
    <x v="44"/>
    <m/>
    <m/>
    <m/>
    <x v="0"/>
    <m/>
    <m/>
    <x v="2"/>
    <m/>
    <x v="6"/>
    <m/>
    <x v="0"/>
    <x v="0"/>
  </r>
  <r>
    <x v="19"/>
    <x v="57"/>
    <x v="55"/>
    <x v="52"/>
    <m/>
    <m/>
    <m/>
    <x v="0"/>
    <m/>
    <m/>
    <x v="2"/>
    <m/>
    <x v="6"/>
    <m/>
    <x v="0"/>
    <x v="0"/>
  </r>
  <r>
    <x v="19"/>
    <x v="58"/>
    <x v="56"/>
    <x v="53"/>
    <m/>
    <m/>
    <m/>
    <x v="0"/>
    <m/>
    <m/>
    <x v="2"/>
    <m/>
    <x v="6"/>
    <m/>
    <x v="0"/>
    <x v="0"/>
  </r>
  <r>
    <x v="19"/>
    <x v="59"/>
    <x v="57"/>
    <x v="54"/>
    <m/>
    <m/>
    <m/>
    <x v="0"/>
    <m/>
    <m/>
    <x v="2"/>
    <m/>
    <x v="6"/>
    <m/>
    <x v="0"/>
    <x v="0"/>
  </r>
  <r>
    <x v="19"/>
    <x v="60"/>
    <x v="58"/>
    <x v="55"/>
    <m/>
    <m/>
    <m/>
    <x v="0"/>
    <m/>
    <m/>
    <x v="2"/>
    <m/>
    <x v="6"/>
    <m/>
    <x v="0"/>
    <x v="0"/>
  </r>
  <r>
    <x v="19"/>
    <x v="28"/>
    <x v="27"/>
    <x v="27"/>
    <m/>
    <m/>
    <m/>
    <x v="0"/>
    <m/>
    <m/>
    <x v="2"/>
    <m/>
    <x v="6"/>
    <m/>
    <x v="0"/>
    <x v="0"/>
  </r>
  <r>
    <x v="19"/>
    <x v="3"/>
    <x v="3"/>
    <x v="3"/>
    <m/>
    <m/>
    <m/>
    <x v="0"/>
    <m/>
    <m/>
    <x v="2"/>
    <m/>
    <x v="6"/>
    <m/>
    <x v="0"/>
    <x v="0"/>
  </r>
  <r>
    <x v="19"/>
    <x v="26"/>
    <x v="25"/>
    <x v="25"/>
    <m/>
    <m/>
    <m/>
    <x v="0"/>
    <m/>
    <m/>
    <x v="2"/>
    <m/>
    <x v="6"/>
    <m/>
    <x v="0"/>
    <x v="0"/>
  </r>
  <r>
    <x v="19"/>
    <x v="25"/>
    <x v="24"/>
    <x v="24"/>
    <m/>
    <m/>
    <m/>
    <x v="0"/>
    <m/>
    <m/>
    <x v="2"/>
    <m/>
    <x v="6"/>
    <m/>
    <x v="0"/>
    <x v="0"/>
  </r>
  <r>
    <x v="19"/>
    <x v="31"/>
    <x v="30"/>
    <x v="30"/>
    <m/>
    <m/>
    <m/>
    <x v="0"/>
    <m/>
    <m/>
    <x v="2"/>
    <m/>
    <x v="6"/>
    <m/>
    <x v="0"/>
    <x v="0"/>
  </r>
  <r>
    <x v="19"/>
    <x v="22"/>
    <x v="21"/>
    <x v="8"/>
    <m/>
    <m/>
    <m/>
    <x v="0"/>
    <m/>
    <m/>
    <x v="2"/>
    <m/>
    <x v="6"/>
    <m/>
    <x v="0"/>
    <x v="0"/>
  </r>
  <r>
    <x v="19"/>
    <x v="17"/>
    <x v="17"/>
    <x v="17"/>
    <m/>
    <m/>
    <m/>
    <x v="0"/>
    <m/>
    <m/>
    <x v="2"/>
    <m/>
    <x v="6"/>
    <m/>
    <x v="0"/>
    <x v="0"/>
  </r>
  <r>
    <x v="19"/>
    <x v="16"/>
    <x v="16"/>
    <x v="16"/>
    <m/>
    <m/>
    <m/>
    <x v="0"/>
    <m/>
    <m/>
    <x v="2"/>
    <m/>
    <x v="6"/>
    <m/>
    <x v="0"/>
    <x v="0"/>
  </r>
  <r>
    <x v="19"/>
    <x v="51"/>
    <x v="49"/>
    <x v="47"/>
    <m/>
    <m/>
    <m/>
    <x v="0"/>
    <m/>
    <m/>
    <x v="2"/>
    <m/>
    <x v="6"/>
    <m/>
    <x v="0"/>
    <x v="0"/>
  </r>
  <r>
    <x v="19"/>
    <x v="61"/>
    <x v="59"/>
    <x v="56"/>
    <m/>
    <m/>
    <m/>
    <x v="0"/>
    <m/>
    <m/>
    <x v="2"/>
    <m/>
    <x v="6"/>
    <m/>
    <x v="0"/>
    <x v="0"/>
  </r>
  <r>
    <x v="19"/>
    <x v="41"/>
    <x v="40"/>
    <x v="38"/>
    <m/>
    <m/>
    <m/>
    <x v="0"/>
    <m/>
    <m/>
    <x v="2"/>
    <m/>
    <x v="6"/>
    <m/>
    <x v="0"/>
    <x v="0"/>
  </r>
  <r>
    <x v="19"/>
    <x v="38"/>
    <x v="37"/>
    <x v="36"/>
    <m/>
    <m/>
    <m/>
    <x v="0"/>
    <m/>
    <m/>
    <x v="2"/>
    <m/>
    <x v="6"/>
    <m/>
    <x v="0"/>
    <x v="0"/>
  </r>
  <r>
    <x v="19"/>
    <x v="62"/>
    <x v="31"/>
    <x v="57"/>
    <m/>
    <m/>
    <m/>
    <x v="0"/>
    <m/>
    <m/>
    <x v="2"/>
    <m/>
    <x v="6"/>
    <m/>
    <x v="0"/>
    <x v="0"/>
  </r>
  <r>
    <x v="19"/>
    <x v="63"/>
    <x v="60"/>
    <x v="58"/>
    <m/>
    <m/>
    <m/>
    <x v="0"/>
    <m/>
    <m/>
    <x v="2"/>
    <m/>
    <x v="6"/>
    <m/>
    <x v="0"/>
    <x v="0"/>
  </r>
  <r>
    <x v="19"/>
    <x v="64"/>
    <x v="61"/>
    <x v="59"/>
    <m/>
    <m/>
    <m/>
    <x v="0"/>
    <m/>
    <m/>
    <x v="2"/>
    <m/>
    <x v="6"/>
    <m/>
    <x v="0"/>
    <x v="0"/>
  </r>
  <r>
    <x v="19"/>
    <x v="65"/>
    <x v="62"/>
    <x v="60"/>
    <m/>
    <m/>
    <m/>
    <x v="0"/>
    <m/>
    <m/>
    <x v="2"/>
    <m/>
    <x v="6"/>
    <m/>
    <x v="0"/>
    <x v="0"/>
  </r>
  <r>
    <x v="19"/>
    <x v="4"/>
    <x v="4"/>
    <x v="4"/>
    <m/>
    <m/>
    <m/>
    <x v="0"/>
    <m/>
    <m/>
    <x v="2"/>
    <m/>
    <x v="6"/>
    <m/>
    <x v="0"/>
    <x v="0"/>
  </r>
  <r>
    <x v="19"/>
    <x v="23"/>
    <x v="22"/>
    <x v="22"/>
    <m/>
    <m/>
    <m/>
    <x v="0"/>
    <m/>
    <m/>
    <x v="2"/>
    <m/>
    <x v="6"/>
    <m/>
    <x v="0"/>
    <x v="0"/>
  </r>
  <r>
    <x v="19"/>
    <x v="29"/>
    <x v="28"/>
    <x v="49"/>
    <m/>
    <m/>
    <m/>
    <x v="0"/>
    <m/>
    <m/>
    <x v="2"/>
    <m/>
    <x v="6"/>
    <m/>
    <x v="0"/>
    <x v="0"/>
  </r>
  <r>
    <x v="19"/>
    <x v="27"/>
    <x v="63"/>
    <x v="3"/>
    <m/>
    <m/>
    <m/>
    <x v="0"/>
    <m/>
    <m/>
    <x v="2"/>
    <m/>
    <x v="6"/>
    <m/>
    <x v="0"/>
    <x v="0"/>
  </r>
  <r>
    <x v="19"/>
    <x v="66"/>
    <x v="64"/>
    <x v="61"/>
    <m/>
    <m/>
    <m/>
    <x v="0"/>
    <m/>
    <m/>
    <x v="2"/>
    <m/>
    <x v="6"/>
    <m/>
    <x v="0"/>
    <x v="0"/>
  </r>
  <r>
    <x v="0"/>
    <x v="50"/>
    <x v="65"/>
    <x v="45"/>
    <m/>
    <m/>
    <m/>
    <x v="0"/>
    <m/>
    <m/>
    <x v="2"/>
    <m/>
    <x v="6"/>
    <m/>
    <x v="0"/>
    <x v="0"/>
  </r>
  <r>
    <x v="0"/>
    <x v="50"/>
    <x v="65"/>
    <x v="45"/>
    <m/>
    <m/>
    <m/>
    <x v="0"/>
    <m/>
    <m/>
    <x v="2"/>
    <m/>
    <x v="6"/>
    <m/>
    <x v="0"/>
    <x v="0"/>
  </r>
  <r>
    <x v="0"/>
    <x v="50"/>
    <x v="65"/>
    <x v="45"/>
    <m/>
    <m/>
    <m/>
    <x v="0"/>
    <m/>
    <m/>
    <x v="2"/>
    <m/>
    <x v="6"/>
    <m/>
    <x v="0"/>
    <x v="0"/>
  </r>
  <r>
    <x v="0"/>
    <x v="50"/>
    <x v="65"/>
    <x v="45"/>
    <m/>
    <m/>
    <m/>
    <x v="0"/>
    <m/>
    <m/>
    <x v="2"/>
    <m/>
    <x v="6"/>
    <m/>
    <x v="0"/>
    <x v="0"/>
  </r>
  <r>
    <x v="0"/>
    <x v="50"/>
    <x v="65"/>
    <x v="45"/>
    <m/>
    <m/>
    <m/>
    <x v="0"/>
    <m/>
    <m/>
    <x v="2"/>
    <m/>
    <x v="6"/>
    <m/>
    <x v="0"/>
    <x v="0"/>
  </r>
  <r>
    <x v="0"/>
    <x v="50"/>
    <x v="66"/>
    <x v="45"/>
    <m/>
    <m/>
    <m/>
    <x v="0"/>
    <m/>
    <m/>
    <x v="2"/>
    <m/>
    <x v="6"/>
    <m/>
    <x v="0"/>
    <x v="0"/>
  </r>
  <r>
    <x v="0"/>
    <x v="50"/>
    <x v="67"/>
    <x v="45"/>
    <m/>
    <m/>
    <m/>
    <x v="0"/>
    <m/>
    <m/>
    <x v="2"/>
    <m/>
    <x v="6"/>
    <m/>
    <x v="0"/>
    <x v="0"/>
  </r>
  <r>
    <x v="0"/>
    <x v="50"/>
    <x v="65"/>
    <x v="45"/>
    <m/>
    <m/>
    <m/>
    <x v="0"/>
    <m/>
    <m/>
    <x v="2"/>
    <m/>
    <x v="6"/>
    <m/>
    <x v="0"/>
    <x v="0"/>
  </r>
  <r>
    <x v="0"/>
    <x v="50"/>
    <x v="65"/>
    <x v="45"/>
    <m/>
    <m/>
    <m/>
    <x v="0"/>
    <m/>
    <m/>
    <x v="2"/>
    <m/>
    <x v="6"/>
    <m/>
    <x v="0"/>
    <x v="0"/>
  </r>
  <r>
    <x v="0"/>
    <x v="50"/>
    <x v="65"/>
    <x v="45"/>
    <m/>
    <m/>
    <m/>
    <x v="0"/>
    <m/>
    <m/>
    <x v="2"/>
    <m/>
    <x v="6"/>
    <m/>
    <x v="0"/>
    <x v="0"/>
  </r>
  <r>
    <x v="0"/>
    <x v="50"/>
    <x v="65"/>
    <x v="45"/>
    <m/>
    <m/>
    <m/>
    <x v="0"/>
    <m/>
    <m/>
    <x v="2"/>
    <m/>
    <x v="6"/>
    <m/>
    <x v="0"/>
    <x v="0"/>
  </r>
  <r>
    <x v="0"/>
    <x v="50"/>
    <x v="65"/>
    <x v="45"/>
    <m/>
    <m/>
    <m/>
    <x v="0"/>
    <m/>
    <m/>
    <x v="2"/>
    <m/>
    <x v="6"/>
    <m/>
    <x v="0"/>
    <x v="0"/>
  </r>
  <r>
    <x v="0"/>
    <x v="50"/>
    <x v="65"/>
    <x v="45"/>
    <m/>
    <m/>
    <m/>
    <x v="0"/>
    <m/>
    <m/>
    <x v="2"/>
    <m/>
    <x v="6"/>
    <m/>
    <x v="0"/>
    <x v="0"/>
  </r>
  <r>
    <x v="0"/>
    <x v="50"/>
    <x v="65"/>
    <x v="45"/>
    <m/>
    <m/>
    <m/>
    <x v="0"/>
    <m/>
    <m/>
    <x v="2"/>
    <m/>
    <x v="6"/>
    <m/>
    <x v="0"/>
    <x v="0"/>
  </r>
  <r>
    <x v="0"/>
    <x v="50"/>
    <x v="65"/>
    <x v="45"/>
    <m/>
    <m/>
    <m/>
    <x v="0"/>
    <m/>
    <m/>
    <x v="2"/>
    <m/>
    <x v="6"/>
    <m/>
    <x v="0"/>
    <x v="0"/>
  </r>
  <r>
    <x v="0"/>
    <x v="50"/>
    <x v="65"/>
    <x v="45"/>
    <m/>
    <m/>
    <m/>
    <x v="0"/>
    <m/>
    <m/>
    <x v="2"/>
    <m/>
    <x v="6"/>
    <m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x v="0"/>
    <n v="18"/>
    <n v="84"/>
    <n v="66"/>
    <s v="PANTHER RUN"/>
    <n v="110"/>
  </r>
  <r>
    <x v="1"/>
    <n v="16"/>
    <n v="84"/>
    <n v="68"/>
    <s v="PANTHER RUN"/>
    <n v="70"/>
  </r>
  <r>
    <x v="2"/>
    <n v="22"/>
    <n v="93"/>
    <n v="71"/>
    <s v="PANTHER RUN"/>
    <n v="10"/>
  </r>
  <r>
    <x v="3"/>
    <n v="12"/>
    <n v="86"/>
    <n v="74"/>
    <s v="PANTHER RUN"/>
    <n v="-10"/>
  </r>
  <r>
    <x v="4"/>
    <n v="22"/>
    <n v="96"/>
    <n v="74"/>
    <s v="PANTHER RUN"/>
    <n v="2"/>
  </r>
  <r>
    <x v="5"/>
    <n v="34"/>
    <n v="109"/>
    <n v="75"/>
    <s v="PANTHER RUN"/>
    <n v="2"/>
  </r>
  <r>
    <x v="6"/>
    <n v="23"/>
    <n v="101"/>
    <n v="78"/>
    <s v="PANTHER RUN"/>
    <n v="-2"/>
  </r>
  <r>
    <x v="7"/>
    <n v="38"/>
    <n v="120"/>
    <n v="82"/>
    <s v="PANTHER RUN"/>
    <n v="-2"/>
  </r>
  <r>
    <x v="0"/>
    <n v="18"/>
    <n v="89"/>
    <n v="71"/>
    <s v="STONEYBROOK"/>
    <n v="120"/>
  </r>
  <r>
    <x v="5"/>
    <n v="34"/>
    <n v="105"/>
    <n v="71"/>
    <s v="STONEYBROOK"/>
    <n v="60"/>
  </r>
  <r>
    <x v="6"/>
    <n v="23"/>
    <n v="104"/>
    <n v="81"/>
    <s v="STONEYBROOK"/>
    <n v="40"/>
  </r>
  <r>
    <x v="3"/>
    <n v="12"/>
    <n v="94"/>
    <n v="82"/>
    <s v="STONEYBROOK"/>
    <n v="-40"/>
  </r>
  <r>
    <x v="4"/>
    <n v="22"/>
    <n v="107"/>
    <n v="85"/>
    <s v="STONEYBROOK"/>
    <n v="30"/>
  </r>
  <r>
    <x v="2"/>
    <n v="22"/>
    <n v="110"/>
    <n v="88"/>
    <s v="STONEYBROOK"/>
    <n v="40"/>
  </r>
  <r>
    <x v="1"/>
    <n v="16"/>
    <n v="105"/>
    <n v="89"/>
    <s v="STONEYBROOK"/>
    <n v="-30"/>
  </r>
  <r>
    <x v="7"/>
    <n v="38"/>
    <n v="141"/>
    <n v="103"/>
    <s v="STONEYBROOK"/>
    <n v="-40"/>
  </r>
  <r>
    <x v="0"/>
    <n v="18"/>
    <n v="92"/>
    <n v="74"/>
    <s v="VALENCIA"/>
    <n v="60"/>
  </r>
  <r>
    <x v="5"/>
    <n v="34"/>
    <n v="105"/>
    <n v="71"/>
    <s v="VALENCIA"/>
    <n v="105"/>
  </r>
  <r>
    <x v="6"/>
    <n v="23"/>
    <n v="99"/>
    <n v="76"/>
    <s v="VALENCIA"/>
    <n v="-17"/>
  </r>
  <r>
    <x v="3"/>
    <n v="12"/>
    <n v="77"/>
    <n v="65"/>
    <s v="VALENCIA"/>
    <n v="140"/>
  </r>
  <r>
    <x v="4"/>
    <n v="22"/>
    <n v="0"/>
    <n v="100"/>
    <s v="VALENCIA"/>
    <m/>
  </r>
  <r>
    <x v="2"/>
    <n v="22"/>
    <n v="91"/>
    <n v="69"/>
    <s v="VALENCIA"/>
    <n v="102"/>
  </r>
  <r>
    <x v="1"/>
    <n v="16"/>
    <n v="95"/>
    <n v="79"/>
    <s v="VALENCIA"/>
    <n v="-40"/>
  </r>
  <r>
    <x v="7"/>
    <n v="38"/>
    <n v="111"/>
    <n v="73"/>
    <s v="VALENCIA"/>
    <n v="-2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7">
  <r>
    <x v="0"/>
    <x v="0"/>
    <x v="0"/>
    <x v="0"/>
    <m/>
    <m/>
    <m/>
    <m/>
    <x v="0"/>
    <x v="0"/>
    <n v="5"/>
    <n v="935"/>
    <n v="1032000"/>
    <n v="11"/>
    <m/>
    <m/>
  </r>
  <r>
    <x v="0"/>
    <x v="1"/>
    <x v="1"/>
    <x v="1"/>
    <m/>
    <m/>
    <m/>
    <m/>
    <x v="0"/>
    <x v="0"/>
    <n v="4"/>
    <n v="800"/>
    <n v="300000"/>
    <n v="9"/>
    <m/>
    <m/>
  </r>
  <r>
    <x v="0"/>
    <x v="2"/>
    <x v="2"/>
    <x v="2"/>
    <m/>
    <m/>
    <m/>
    <m/>
    <x v="0"/>
    <x v="0"/>
    <m/>
    <n v="750"/>
    <n v="410000"/>
    <n v="10"/>
    <m/>
    <m/>
  </r>
  <r>
    <x v="1"/>
    <x v="3"/>
    <x v="3"/>
    <x v="3"/>
    <m/>
    <m/>
    <m/>
    <m/>
    <x v="0"/>
    <x v="0"/>
    <n v="3"/>
    <n v="710"/>
    <n v="277000"/>
    <n v="10"/>
    <m/>
    <m/>
  </r>
  <r>
    <x v="0"/>
    <x v="4"/>
    <x v="4"/>
    <x v="4"/>
    <m/>
    <m/>
    <m/>
    <m/>
    <x v="0"/>
    <x v="0"/>
    <n v="4"/>
    <n v="760"/>
    <n v="270000"/>
    <n v="9"/>
    <m/>
    <m/>
  </r>
  <r>
    <x v="0"/>
    <x v="5"/>
    <x v="5"/>
    <x v="5"/>
    <m/>
    <m/>
    <m/>
    <m/>
    <x v="0"/>
    <x v="0"/>
    <m/>
    <n v="725"/>
    <n v="340000"/>
    <n v="11"/>
    <m/>
    <m/>
  </r>
  <r>
    <x v="0"/>
    <x v="6"/>
    <x v="6"/>
    <x v="6"/>
    <m/>
    <m/>
    <m/>
    <m/>
    <x v="0"/>
    <x v="0"/>
    <m/>
    <n v="670"/>
    <m/>
    <n v="8"/>
    <m/>
    <m/>
  </r>
  <r>
    <x v="0"/>
    <x v="7"/>
    <x v="7"/>
    <x v="7"/>
    <m/>
    <m/>
    <m/>
    <m/>
    <x v="0"/>
    <x v="0"/>
    <m/>
    <n v="750"/>
    <n v="330000"/>
    <n v="10"/>
    <m/>
    <m/>
  </r>
  <r>
    <x v="0"/>
    <x v="8"/>
    <x v="8"/>
    <x v="8"/>
    <m/>
    <m/>
    <m/>
    <m/>
    <x v="0"/>
    <x v="0"/>
    <m/>
    <n v="735"/>
    <n v="620000"/>
    <n v="10"/>
    <m/>
    <m/>
  </r>
  <r>
    <x v="0"/>
    <x v="9"/>
    <x v="9"/>
    <x v="9"/>
    <m/>
    <m/>
    <m/>
    <m/>
    <x v="0"/>
    <x v="0"/>
    <n v="2"/>
    <n v="655"/>
    <n v="807000"/>
    <n v="8"/>
    <m/>
    <m/>
  </r>
  <r>
    <x v="0"/>
    <x v="10"/>
    <x v="10"/>
    <x v="10"/>
    <m/>
    <m/>
    <m/>
    <m/>
    <x v="0"/>
    <x v="0"/>
    <m/>
    <n v="620"/>
    <n v="200000"/>
    <n v="6"/>
    <m/>
    <m/>
  </r>
  <r>
    <x v="0"/>
    <x v="11"/>
    <x v="11"/>
    <x v="11"/>
    <m/>
    <m/>
    <m/>
    <m/>
    <x v="0"/>
    <x v="0"/>
    <n v="5"/>
    <n v="670"/>
    <n v="160000"/>
    <n v="10"/>
    <m/>
    <m/>
  </r>
  <r>
    <x v="0"/>
    <x v="12"/>
    <x v="12"/>
    <x v="12"/>
    <m/>
    <m/>
    <m/>
    <m/>
    <x v="0"/>
    <x v="0"/>
    <m/>
    <n v="675"/>
    <n v="100000"/>
    <n v="8"/>
    <m/>
    <m/>
  </r>
  <r>
    <x v="0"/>
    <x v="13"/>
    <x v="13"/>
    <x v="13"/>
    <m/>
    <m/>
    <m/>
    <m/>
    <x v="0"/>
    <x v="0"/>
    <n v="4"/>
    <n v="605"/>
    <n v="410000"/>
    <n v="9"/>
    <m/>
    <m/>
  </r>
  <r>
    <x v="0"/>
    <x v="14"/>
    <x v="14"/>
    <x v="14"/>
    <m/>
    <m/>
    <m/>
    <m/>
    <x v="0"/>
    <x v="0"/>
    <n v="5"/>
    <n v="655"/>
    <n v="580000"/>
    <n v="7"/>
    <m/>
    <n v="2050000"/>
  </r>
  <r>
    <x v="0"/>
    <x v="15"/>
    <x v="15"/>
    <x v="15"/>
    <m/>
    <m/>
    <m/>
    <m/>
    <x v="0"/>
    <x v="0"/>
    <n v="1"/>
    <n v="620"/>
    <n v="80000"/>
    <n v="9"/>
    <m/>
    <m/>
  </r>
  <r>
    <x v="0"/>
    <x v="16"/>
    <x v="16"/>
    <x v="16"/>
    <m/>
    <m/>
    <m/>
    <m/>
    <x v="0"/>
    <x v="0"/>
    <m/>
    <n v="575"/>
    <n v="120000"/>
    <n v="6"/>
    <m/>
    <m/>
  </r>
  <r>
    <x v="0"/>
    <x v="17"/>
    <x v="17"/>
    <x v="17"/>
    <m/>
    <m/>
    <m/>
    <m/>
    <x v="0"/>
    <x v="0"/>
    <m/>
    <n v="560"/>
    <n v="430000"/>
    <n v="8"/>
    <m/>
    <m/>
  </r>
  <r>
    <x v="0"/>
    <x v="18"/>
    <x v="18"/>
    <x v="18"/>
    <m/>
    <m/>
    <m/>
    <m/>
    <x v="0"/>
    <x v="0"/>
    <m/>
    <n v="545"/>
    <n v="420000"/>
    <n v="7"/>
    <m/>
    <m/>
  </r>
  <r>
    <x v="0"/>
    <x v="19"/>
    <x v="10"/>
    <x v="19"/>
    <m/>
    <m/>
    <m/>
    <m/>
    <x v="0"/>
    <x v="0"/>
    <m/>
    <n v="445"/>
    <n v="667000"/>
    <n v="4"/>
    <m/>
    <m/>
  </r>
  <r>
    <x v="0"/>
    <x v="20"/>
    <x v="19"/>
    <x v="20"/>
    <m/>
    <m/>
    <m/>
    <m/>
    <x v="0"/>
    <x v="0"/>
    <m/>
    <n v="430"/>
    <n v="120000"/>
    <n v="8"/>
    <m/>
    <m/>
  </r>
  <r>
    <x v="0"/>
    <x v="21"/>
    <x v="20"/>
    <x v="21"/>
    <m/>
    <m/>
    <m/>
    <m/>
    <x v="0"/>
    <x v="0"/>
    <m/>
    <n v="475"/>
    <n v="480000"/>
    <n v="5"/>
    <m/>
    <m/>
  </r>
  <r>
    <x v="0"/>
    <x v="22"/>
    <x v="21"/>
    <x v="8"/>
    <m/>
    <m/>
    <m/>
    <m/>
    <x v="0"/>
    <x v="0"/>
    <m/>
    <n v="400"/>
    <n v="270000"/>
    <n v="7"/>
    <m/>
    <m/>
  </r>
  <r>
    <x v="0"/>
    <x v="23"/>
    <x v="22"/>
    <x v="22"/>
    <m/>
    <m/>
    <m/>
    <m/>
    <x v="0"/>
    <x v="0"/>
    <m/>
    <n v="395"/>
    <n v="390000"/>
    <n v="5"/>
    <m/>
    <m/>
  </r>
  <r>
    <x v="0"/>
    <x v="24"/>
    <x v="23"/>
    <x v="23"/>
    <m/>
    <m/>
    <m/>
    <m/>
    <x v="0"/>
    <x v="0"/>
    <m/>
    <n v="485"/>
    <n v="410000"/>
    <n v="8"/>
    <m/>
    <m/>
  </r>
  <r>
    <x v="0"/>
    <x v="25"/>
    <x v="24"/>
    <x v="24"/>
    <m/>
    <m/>
    <m/>
    <m/>
    <x v="0"/>
    <x v="0"/>
    <n v="1"/>
    <n v="420"/>
    <n v="340000"/>
    <n v="5"/>
    <m/>
    <m/>
  </r>
  <r>
    <x v="0"/>
    <x v="26"/>
    <x v="25"/>
    <x v="25"/>
    <m/>
    <m/>
    <m/>
    <m/>
    <x v="0"/>
    <x v="0"/>
    <n v="2"/>
    <n v="285"/>
    <n v="310000"/>
    <n v="4"/>
    <m/>
    <m/>
  </r>
  <r>
    <x v="0"/>
    <x v="27"/>
    <x v="26"/>
    <x v="26"/>
    <m/>
    <m/>
    <m/>
    <m/>
    <x v="0"/>
    <x v="0"/>
    <m/>
    <n v="255"/>
    <n v="380000"/>
    <n v="4"/>
    <m/>
    <m/>
  </r>
  <r>
    <x v="0"/>
    <x v="28"/>
    <x v="27"/>
    <x v="27"/>
    <m/>
    <m/>
    <m/>
    <m/>
    <x v="0"/>
    <x v="0"/>
    <n v="10"/>
    <n v="240"/>
    <n v="60000"/>
    <n v="4"/>
    <m/>
    <m/>
  </r>
  <r>
    <x v="0"/>
    <x v="29"/>
    <x v="28"/>
    <x v="28"/>
    <m/>
    <m/>
    <m/>
    <m/>
    <x v="0"/>
    <x v="0"/>
    <m/>
    <n v="270"/>
    <m/>
    <n v="4"/>
    <m/>
    <m/>
  </r>
  <r>
    <x v="0"/>
    <x v="30"/>
    <x v="29"/>
    <x v="29"/>
    <m/>
    <m/>
    <m/>
    <m/>
    <x v="0"/>
    <x v="0"/>
    <m/>
    <n v="215"/>
    <n v="60000"/>
    <n v="3"/>
    <m/>
    <m/>
  </r>
  <r>
    <x v="0"/>
    <x v="31"/>
    <x v="30"/>
    <x v="30"/>
    <m/>
    <m/>
    <m/>
    <m/>
    <x v="0"/>
    <x v="0"/>
    <m/>
    <n v="210"/>
    <m/>
    <n v="3"/>
    <m/>
    <m/>
  </r>
  <r>
    <x v="0"/>
    <x v="32"/>
    <x v="31"/>
    <x v="31"/>
    <m/>
    <m/>
    <m/>
    <m/>
    <x v="0"/>
    <x v="0"/>
    <n v="1"/>
    <n v="205"/>
    <n v="60000"/>
    <n v="3"/>
    <m/>
    <m/>
  </r>
  <r>
    <x v="0"/>
    <x v="33"/>
    <x v="32"/>
    <x v="32"/>
    <m/>
    <m/>
    <m/>
    <m/>
    <x v="0"/>
    <x v="0"/>
    <m/>
    <n v="130"/>
    <n v="167000"/>
    <n v="2"/>
    <m/>
    <m/>
  </r>
  <r>
    <x v="0"/>
    <x v="34"/>
    <x v="33"/>
    <x v="33"/>
    <m/>
    <m/>
    <m/>
    <m/>
    <x v="0"/>
    <x v="0"/>
    <n v="1"/>
    <n v="125"/>
    <n v="60000"/>
    <n v="2"/>
    <m/>
    <m/>
  </r>
  <r>
    <x v="0"/>
    <x v="35"/>
    <x v="34"/>
    <x v="27"/>
    <m/>
    <m/>
    <m/>
    <m/>
    <x v="0"/>
    <x v="0"/>
    <m/>
    <n v="110"/>
    <m/>
    <n v="1"/>
    <m/>
    <m/>
  </r>
  <r>
    <x v="0"/>
    <x v="36"/>
    <x v="35"/>
    <x v="34"/>
    <m/>
    <m/>
    <m/>
    <m/>
    <x v="0"/>
    <x v="0"/>
    <m/>
    <n v="110"/>
    <m/>
    <n v="1"/>
    <m/>
    <m/>
  </r>
  <r>
    <x v="0"/>
    <x v="37"/>
    <x v="36"/>
    <x v="35"/>
    <m/>
    <m/>
    <m/>
    <m/>
    <x v="0"/>
    <x v="0"/>
    <m/>
    <n v="90"/>
    <n v="130000"/>
    <n v="1"/>
    <m/>
    <m/>
  </r>
  <r>
    <x v="0"/>
    <x v="38"/>
    <x v="37"/>
    <x v="36"/>
    <m/>
    <m/>
    <m/>
    <m/>
    <x v="0"/>
    <x v="0"/>
    <m/>
    <n v="80"/>
    <n v="30000"/>
    <n v="1"/>
    <m/>
    <m/>
  </r>
  <r>
    <x v="0"/>
    <x v="39"/>
    <x v="38"/>
    <x v="9"/>
    <m/>
    <m/>
    <m/>
    <m/>
    <x v="0"/>
    <x v="0"/>
    <m/>
    <n v="80"/>
    <n v="130000"/>
    <n v="1"/>
    <m/>
    <m/>
  </r>
  <r>
    <x v="0"/>
    <x v="40"/>
    <x v="39"/>
    <x v="37"/>
    <m/>
    <m/>
    <m/>
    <m/>
    <x v="0"/>
    <x v="0"/>
    <m/>
    <n v="75"/>
    <n v="85000"/>
    <n v="1"/>
    <m/>
    <m/>
  </r>
  <r>
    <x v="0"/>
    <x v="41"/>
    <x v="40"/>
    <x v="38"/>
    <m/>
    <m/>
    <m/>
    <m/>
    <x v="0"/>
    <x v="0"/>
    <m/>
    <n v="75"/>
    <n v="85000"/>
    <n v="1"/>
    <m/>
    <m/>
  </r>
  <r>
    <x v="0"/>
    <x v="42"/>
    <x v="41"/>
    <x v="39"/>
    <m/>
    <m/>
    <m/>
    <m/>
    <x v="0"/>
    <x v="0"/>
    <m/>
    <n v="70"/>
    <m/>
    <n v="1"/>
    <m/>
    <m/>
  </r>
  <r>
    <x v="0"/>
    <x v="43"/>
    <x v="42"/>
    <x v="40"/>
    <m/>
    <m/>
    <m/>
    <m/>
    <x v="0"/>
    <x v="0"/>
    <n v="1"/>
    <n v="70"/>
    <m/>
    <n v="2"/>
    <m/>
    <m/>
  </r>
  <r>
    <x v="0"/>
    <x v="44"/>
    <x v="43"/>
    <x v="41"/>
    <m/>
    <m/>
    <m/>
    <m/>
    <x v="0"/>
    <x v="0"/>
    <m/>
    <n v="65"/>
    <m/>
    <n v="1"/>
    <m/>
    <m/>
  </r>
  <r>
    <x v="0"/>
    <x v="45"/>
    <x v="44"/>
    <x v="42"/>
    <m/>
    <m/>
    <m/>
    <m/>
    <x v="0"/>
    <x v="0"/>
    <m/>
    <n v="65"/>
    <m/>
    <n v="1"/>
    <m/>
    <m/>
  </r>
  <r>
    <x v="0"/>
    <x v="46"/>
    <x v="38"/>
    <x v="32"/>
    <m/>
    <m/>
    <m/>
    <m/>
    <x v="0"/>
    <x v="0"/>
    <m/>
    <n v="60"/>
    <m/>
    <n v="1"/>
    <m/>
    <m/>
  </r>
  <r>
    <x v="0"/>
    <x v="47"/>
    <x v="45"/>
    <x v="43"/>
    <m/>
    <m/>
    <m/>
    <m/>
    <x v="0"/>
    <x v="0"/>
    <n v="1"/>
    <n v="50"/>
    <m/>
    <n v="1"/>
    <m/>
    <m/>
  </r>
  <r>
    <x v="0"/>
    <x v="48"/>
    <x v="46"/>
    <x v="44"/>
    <m/>
    <m/>
    <m/>
    <m/>
    <x v="0"/>
    <x v="0"/>
    <m/>
    <n v="35"/>
    <m/>
    <n v="1"/>
    <m/>
    <m/>
  </r>
  <r>
    <x v="0"/>
    <x v="49"/>
    <x v="47"/>
    <x v="45"/>
    <m/>
    <m/>
    <m/>
    <m/>
    <x v="0"/>
    <x v="0"/>
    <m/>
    <n v="30"/>
    <m/>
    <n v="1"/>
    <m/>
    <m/>
  </r>
  <r>
    <x v="1"/>
    <x v="50"/>
    <x v="48"/>
    <x v="46"/>
    <m/>
    <m/>
    <m/>
    <m/>
    <x v="0"/>
    <x v="0"/>
    <m/>
    <n v="95"/>
    <n v="180000"/>
    <n v="1"/>
    <m/>
    <m/>
  </r>
  <r>
    <x v="2"/>
    <x v="9"/>
    <x v="9"/>
    <x v="9"/>
    <m/>
    <m/>
    <m/>
    <m/>
    <x v="0"/>
    <x v="0"/>
    <m/>
    <n v="95"/>
    <m/>
    <n v="1"/>
    <m/>
    <m/>
  </r>
  <r>
    <x v="2"/>
    <x v="0"/>
    <x v="0"/>
    <x v="0"/>
    <m/>
    <m/>
    <m/>
    <m/>
    <x v="0"/>
    <x v="0"/>
    <m/>
    <n v="65"/>
    <m/>
    <n v="1"/>
    <m/>
    <n v="250000"/>
  </r>
  <r>
    <x v="2"/>
    <x v="14"/>
    <x v="14"/>
    <x v="14"/>
    <m/>
    <m/>
    <m/>
    <m/>
    <x v="0"/>
    <x v="0"/>
    <m/>
    <n v="90"/>
    <m/>
    <n v="1"/>
    <m/>
    <m/>
  </r>
  <r>
    <x v="2"/>
    <x v="11"/>
    <x v="11"/>
    <x v="11"/>
    <m/>
    <m/>
    <m/>
    <m/>
    <x v="0"/>
    <x v="0"/>
    <m/>
    <n v="95"/>
    <m/>
    <n v="1"/>
    <m/>
    <m/>
  </r>
  <r>
    <x v="2"/>
    <x v="20"/>
    <x v="19"/>
    <x v="20"/>
    <m/>
    <m/>
    <m/>
    <m/>
    <x v="0"/>
    <x v="0"/>
    <m/>
    <n v="60"/>
    <m/>
    <n v="1"/>
    <m/>
    <m/>
  </r>
  <r>
    <x v="2"/>
    <x v="8"/>
    <x v="8"/>
    <x v="8"/>
    <m/>
    <m/>
    <m/>
    <m/>
    <x v="0"/>
    <x v="0"/>
    <m/>
    <n v="75"/>
    <m/>
    <n v="1"/>
    <m/>
    <m/>
  </r>
  <r>
    <x v="2"/>
    <x v="29"/>
    <x v="28"/>
    <x v="28"/>
    <m/>
    <m/>
    <m/>
    <m/>
    <x v="0"/>
    <x v="0"/>
    <m/>
    <n v="80"/>
    <m/>
    <n v="1"/>
    <m/>
    <m/>
  </r>
  <r>
    <x v="2"/>
    <x v="2"/>
    <x v="2"/>
    <x v="2"/>
    <m/>
    <m/>
    <m/>
    <m/>
    <x v="0"/>
    <x v="0"/>
    <m/>
    <n v="95"/>
    <m/>
    <n v="1"/>
    <m/>
    <m/>
  </r>
  <r>
    <x v="2"/>
    <x v="24"/>
    <x v="23"/>
    <x v="23"/>
    <m/>
    <m/>
    <m/>
    <m/>
    <x v="0"/>
    <x v="0"/>
    <m/>
    <n v="100"/>
    <m/>
    <n v="1"/>
    <m/>
    <m/>
  </r>
  <r>
    <x v="2"/>
    <x v="7"/>
    <x v="7"/>
    <x v="7"/>
    <m/>
    <m/>
    <m/>
    <m/>
    <x v="0"/>
    <x v="0"/>
    <m/>
    <n v="75"/>
    <m/>
    <n v="1"/>
    <m/>
    <m/>
  </r>
  <r>
    <x v="2"/>
    <x v="28"/>
    <x v="27"/>
    <x v="27"/>
    <m/>
    <m/>
    <m/>
    <m/>
    <x v="0"/>
    <x v="0"/>
    <m/>
    <n v="85"/>
    <m/>
    <n v="1"/>
    <m/>
    <m/>
  </r>
  <r>
    <x v="2"/>
    <x v="22"/>
    <x v="21"/>
    <x v="8"/>
    <m/>
    <m/>
    <m/>
    <m/>
    <x v="0"/>
    <x v="0"/>
    <m/>
    <n v="70"/>
    <m/>
    <n v="1"/>
    <m/>
    <m/>
  </r>
  <r>
    <x v="3"/>
    <x v="9"/>
    <x v="9"/>
    <x v="9"/>
    <m/>
    <m/>
    <m/>
    <m/>
    <x v="0"/>
    <x v="0"/>
    <m/>
    <n v="100"/>
    <n v="160000"/>
    <n v="1"/>
    <m/>
    <m/>
  </r>
  <r>
    <x v="3"/>
    <x v="6"/>
    <x v="6"/>
    <x v="6"/>
    <m/>
    <m/>
    <m/>
    <m/>
    <x v="0"/>
    <x v="0"/>
    <m/>
    <n v="100"/>
    <n v="160000"/>
    <n v="1"/>
    <m/>
    <m/>
  </r>
  <r>
    <x v="3"/>
    <x v="4"/>
    <x v="4"/>
    <x v="4"/>
    <m/>
    <m/>
    <m/>
    <m/>
    <x v="0"/>
    <x v="0"/>
    <m/>
    <n v="95"/>
    <n v="110000"/>
    <n v="1"/>
    <m/>
    <m/>
  </r>
  <r>
    <x v="3"/>
    <x v="20"/>
    <x v="19"/>
    <x v="20"/>
    <m/>
    <m/>
    <m/>
    <m/>
    <x v="0"/>
    <x v="0"/>
    <m/>
    <n v="50"/>
    <m/>
    <n v="1"/>
    <m/>
    <m/>
  </r>
  <r>
    <x v="3"/>
    <x v="3"/>
    <x v="3"/>
    <x v="3"/>
    <m/>
    <m/>
    <m/>
    <m/>
    <x v="0"/>
    <x v="0"/>
    <m/>
    <n v="70"/>
    <m/>
    <n v="1"/>
    <m/>
    <m/>
  </r>
  <r>
    <x v="3"/>
    <x v="25"/>
    <x v="24"/>
    <x v="24"/>
    <m/>
    <m/>
    <m/>
    <m/>
    <x v="0"/>
    <x v="0"/>
    <m/>
    <n v="65"/>
    <m/>
    <n v="1"/>
    <m/>
    <m/>
  </r>
  <r>
    <x v="3"/>
    <x v="5"/>
    <x v="5"/>
    <x v="5"/>
    <m/>
    <m/>
    <m/>
    <m/>
    <x v="0"/>
    <x v="0"/>
    <n v="5"/>
    <n v="60"/>
    <m/>
    <n v="1"/>
    <m/>
    <m/>
  </r>
  <r>
    <x v="3"/>
    <x v="17"/>
    <x v="17"/>
    <x v="17"/>
    <m/>
    <m/>
    <m/>
    <m/>
    <x v="0"/>
    <x v="0"/>
    <m/>
    <n v="50"/>
    <m/>
    <n v="1"/>
    <m/>
    <m/>
  </r>
  <r>
    <x v="3"/>
    <x v="11"/>
    <x v="11"/>
    <x v="11"/>
    <m/>
    <m/>
    <m/>
    <m/>
    <x v="0"/>
    <x v="0"/>
    <m/>
    <n v="80"/>
    <m/>
    <n v="1"/>
    <m/>
    <m/>
  </r>
  <r>
    <x v="3"/>
    <x v="16"/>
    <x v="16"/>
    <x v="16"/>
    <m/>
    <m/>
    <m/>
    <m/>
    <x v="0"/>
    <x v="0"/>
    <m/>
    <n v="50"/>
    <m/>
    <n v="1"/>
    <m/>
    <m/>
  </r>
  <r>
    <x v="3"/>
    <x v="27"/>
    <x v="26"/>
    <x v="26"/>
    <m/>
    <m/>
    <m/>
    <m/>
    <x v="0"/>
    <x v="0"/>
    <m/>
    <n v="80"/>
    <m/>
    <n v="1"/>
    <m/>
    <m/>
  </r>
  <r>
    <x v="3"/>
    <x v="33"/>
    <x v="32"/>
    <x v="32"/>
    <m/>
    <m/>
    <m/>
    <m/>
    <x v="0"/>
    <x v="0"/>
    <m/>
    <n v="75"/>
    <m/>
    <n v="1"/>
    <m/>
    <m/>
  </r>
  <r>
    <x v="3"/>
    <x v="10"/>
    <x v="10"/>
    <x v="10"/>
    <m/>
    <m/>
    <m/>
    <m/>
    <x v="0"/>
    <x v="0"/>
    <n v="1"/>
    <n v="90"/>
    <m/>
    <n v="1"/>
    <m/>
    <m/>
  </r>
  <r>
    <x v="3"/>
    <x v="30"/>
    <x v="29"/>
    <x v="29"/>
    <m/>
    <m/>
    <m/>
    <m/>
    <x v="0"/>
    <x v="0"/>
    <m/>
    <n v="80"/>
    <m/>
    <n v="1"/>
    <m/>
    <m/>
  </r>
  <r>
    <x v="3"/>
    <x v="43"/>
    <x v="42"/>
    <x v="40"/>
    <m/>
    <m/>
    <m/>
    <m/>
    <x v="0"/>
    <x v="1"/>
    <m/>
    <n v="100"/>
    <n v="160000"/>
    <n v="1"/>
    <m/>
    <m/>
  </r>
  <r>
    <x v="3"/>
    <x v="0"/>
    <x v="0"/>
    <x v="0"/>
    <m/>
    <m/>
    <m/>
    <m/>
    <x v="0"/>
    <x v="0"/>
    <m/>
    <n v="50"/>
    <m/>
    <n v="1"/>
    <m/>
    <n v="180000"/>
  </r>
  <r>
    <x v="3"/>
    <x v="24"/>
    <x v="23"/>
    <x v="23"/>
    <m/>
    <m/>
    <m/>
    <m/>
    <x v="0"/>
    <x v="0"/>
    <m/>
    <n v="70"/>
    <m/>
    <n v="1"/>
    <m/>
    <m/>
  </r>
  <r>
    <x v="3"/>
    <x v="23"/>
    <x v="22"/>
    <x v="22"/>
    <m/>
    <m/>
    <m/>
    <m/>
    <x v="0"/>
    <x v="0"/>
    <n v="1"/>
    <n v="95"/>
    <n v="110000"/>
    <n v="1"/>
    <m/>
    <m/>
  </r>
  <r>
    <x v="3"/>
    <x v="29"/>
    <x v="28"/>
    <x v="28"/>
    <m/>
    <m/>
    <m/>
    <m/>
    <x v="0"/>
    <x v="0"/>
    <m/>
    <n v="85"/>
    <m/>
    <n v="1"/>
    <m/>
    <m/>
  </r>
  <r>
    <x v="3"/>
    <x v="1"/>
    <x v="1"/>
    <x v="1"/>
    <m/>
    <m/>
    <m/>
    <m/>
    <x v="0"/>
    <x v="0"/>
    <m/>
    <n v="90"/>
    <m/>
    <n v="1"/>
    <m/>
    <m/>
  </r>
  <r>
    <x v="4"/>
    <x v="7"/>
    <x v="7"/>
    <x v="7"/>
    <m/>
    <m/>
    <n v="10"/>
    <m/>
    <x v="0"/>
    <x v="2"/>
    <m/>
    <n v="70"/>
    <m/>
    <n v="1"/>
    <m/>
    <m/>
  </r>
  <r>
    <x v="4"/>
    <x v="9"/>
    <x v="9"/>
    <x v="9"/>
    <m/>
    <m/>
    <n v="12"/>
    <m/>
    <x v="0"/>
    <x v="3"/>
    <m/>
    <n v="90"/>
    <n v="140000"/>
    <n v="1"/>
    <m/>
    <m/>
  </r>
  <r>
    <x v="4"/>
    <x v="4"/>
    <x v="4"/>
    <x v="4"/>
    <m/>
    <m/>
    <n v="12"/>
    <m/>
    <x v="0"/>
    <x v="4"/>
    <m/>
    <n v="85"/>
    <n v="120000"/>
    <n v="1"/>
    <m/>
    <m/>
  </r>
  <r>
    <x v="4"/>
    <x v="18"/>
    <x v="18"/>
    <x v="18"/>
    <m/>
    <m/>
    <n v="12"/>
    <m/>
    <x v="0"/>
    <x v="5"/>
    <m/>
    <n v="80"/>
    <n v="100000"/>
    <n v="1"/>
    <m/>
    <m/>
  </r>
  <r>
    <x v="4"/>
    <x v="11"/>
    <x v="11"/>
    <x v="11"/>
    <m/>
    <m/>
    <n v="15"/>
    <m/>
    <x v="0"/>
    <x v="6"/>
    <m/>
    <n v="65"/>
    <m/>
    <n v="1"/>
    <m/>
    <m/>
  </r>
  <r>
    <x v="4"/>
    <x v="22"/>
    <x v="21"/>
    <x v="8"/>
    <m/>
    <m/>
    <n v="18"/>
    <m/>
    <x v="0"/>
    <x v="7"/>
    <m/>
    <n v="45"/>
    <m/>
    <n v="1"/>
    <m/>
    <m/>
  </r>
  <r>
    <x v="4"/>
    <x v="29"/>
    <x v="28"/>
    <x v="28"/>
    <m/>
    <m/>
    <n v="18"/>
    <m/>
    <x v="0"/>
    <x v="8"/>
    <m/>
    <n v="50"/>
    <m/>
    <n v="1"/>
    <m/>
    <m/>
  </r>
  <r>
    <x v="4"/>
    <x v="16"/>
    <x v="16"/>
    <x v="16"/>
    <m/>
    <m/>
    <n v="19"/>
    <m/>
    <x v="0"/>
    <x v="9"/>
    <m/>
    <n v="100"/>
    <n v="200000"/>
    <n v="1"/>
    <m/>
    <m/>
  </r>
  <r>
    <x v="4"/>
    <x v="21"/>
    <x v="20"/>
    <x v="21"/>
    <m/>
    <m/>
    <n v="20"/>
    <m/>
    <x v="0"/>
    <x v="6"/>
    <n v="1"/>
    <n v="65"/>
    <m/>
    <n v="1"/>
    <m/>
    <m/>
  </r>
  <r>
    <x v="4"/>
    <x v="6"/>
    <x v="6"/>
    <x v="6"/>
    <m/>
    <m/>
    <n v="21"/>
    <m/>
    <x v="0"/>
    <x v="10"/>
    <m/>
    <n v="55"/>
    <m/>
    <n v="1"/>
    <m/>
    <m/>
  </r>
  <r>
    <x v="4"/>
    <x v="27"/>
    <x v="26"/>
    <x v="26"/>
    <m/>
    <m/>
    <n v="24"/>
    <m/>
    <x v="0"/>
    <x v="6"/>
    <m/>
    <n v="65"/>
    <m/>
    <n v="1"/>
    <m/>
    <m/>
  </r>
  <r>
    <x v="4"/>
    <x v="22"/>
    <x v="21"/>
    <x v="8"/>
    <m/>
    <m/>
    <n v="24"/>
    <m/>
    <x v="0"/>
    <x v="11"/>
    <m/>
    <n v="75"/>
    <m/>
    <n v="1"/>
    <m/>
    <m/>
  </r>
  <r>
    <x v="4"/>
    <x v="2"/>
    <x v="2"/>
    <x v="2"/>
    <m/>
    <m/>
    <n v="12"/>
    <m/>
    <x v="0"/>
    <x v="6"/>
    <n v="1"/>
    <n v="65"/>
    <m/>
    <n v="1"/>
    <m/>
    <m/>
  </r>
  <r>
    <x v="4"/>
    <x v="10"/>
    <x v="10"/>
    <x v="10"/>
    <m/>
    <m/>
    <n v="13"/>
    <m/>
    <x v="0"/>
    <x v="12"/>
    <m/>
    <n v="60"/>
    <m/>
    <n v="1"/>
    <m/>
    <m/>
  </r>
  <r>
    <x v="4"/>
    <x v="0"/>
    <x v="0"/>
    <x v="0"/>
    <m/>
    <m/>
    <n v="14"/>
    <m/>
    <x v="0"/>
    <x v="7"/>
    <m/>
    <n v="45"/>
    <m/>
    <n v="1"/>
    <m/>
    <n v="100000"/>
  </r>
  <r>
    <x v="4"/>
    <x v="3"/>
    <x v="3"/>
    <x v="3"/>
    <m/>
    <m/>
    <n v="16"/>
    <m/>
    <x v="0"/>
    <x v="8"/>
    <m/>
    <n v="50"/>
    <m/>
    <n v="1"/>
    <m/>
    <m/>
  </r>
  <r>
    <x v="4"/>
    <x v="1"/>
    <x v="1"/>
    <x v="1"/>
    <m/>
    <m/>
    <n v="24"/>
    <m/>
    <x v="0"/>
    <x v="10"/>
    <m/>
    <n v="55"/>
    <m/>
    <n v="1"/>
    <m/>
    <m/>
  </r>
  <r>
    <x v="4"/>
    <x v="5"/>
    <x v="5"/>
    <x v="5"/>
    <m/>
    <m/>
    <n v="24"/>
    <m/>
    <x v="0"/>
    <x v="6"/>
    <m/>
    <n v="65"/>
    <m/>
    <n v="1"/>
    <m/>
    <m/>
  </r>
  <r>
    <x v="4"/>
    <x v="15"/>
    <x v="15"/>
    <x v="15"/>
    <m/>
    <m/>
    <n v="27"/>
    <m/>
    <x v="0"/>
    <x v="10"/>
    <m/>
    <n v="55"/>
    <m/>
    <n v="1"/>
    <m/>
    <m/>
  </r>
  <r>
    <x v="4"/>
    <x v="17"/>
    <x v="17"/>
    <x v="17"/>
    <m/>
    <m/>
    <n v="29"/>
    <m/>
    <x v="0"/>
    <x v="13"/>
    <m/>
    <n v="95"/>
    <n v="180000"/>
    <n v="1"/>
    <m/>
    <m/>
  </r>
  <r>
    <x v="5"/>
    <x v="3"/>
    <x v="3"/>
    <x v="3"/>
    <n v="14.9"/>
    <s v="Azul"/>
    <n v="16"/>
    <m/>
    <x v="1"/>
    <x v="10"/>
    <m/>
    <n v="65"/>
    <m/>
    <n v="1"/>
    <m/>
    <m/>
  </r>
  <r>
    <x v="5"/>
    <x v="0"/>
    <x v="0"/>
    <x v="0"/>
    <n v="13.8"/>
    <s v="Azul"/>
    <n v="15"/>
    <m/>
    <x v="2"/>
    <x v="14"/>
    <n v="1"/>
    <n v="55"/>
    <m/>
    <n v="1"/>
    <m/>
    <m/>
  </r>
  <r>
    <x v="5"/>
    <x v="22"/>
    <x v="21"/>
    <x v="8"/>
    <n v="17.600000000000001"/>
    <s v="Blanca"/>
    <n v="18"/>
    <m/>
    <x v="3"/>
    <x v="1"/>
    <m/>
    <n v="100"/>
    <n v="200000"/>
    <n v="1"/>
    <m/>
    <m/>
  </r>
  <r>
    <x v="5"/>
    <x v="10"/>
    <x v="10"/>
    <x v="10"/>
    <n v="13"/>
    <s v="Azul"/>
    <n v="14"/>
    <m/>
    <x v="4"/>
    <x v="10"/>
    <m/>
    <n v="65"/>
    <m/>
    <n v="1"/>
    <m/>
    <n v="140000"/>
  </r>
  <r>
    <x v="5"/>
    <x v="6"/>
    <x v="6"/>
    <x v="6"/>
    <n v="22.3"/>
    <s v="Blanca"/>
    <n v="20"/>
    <m/>
    <x v="1"/>
    <x v="2"/>
    <m/>
    <n v="80"/>
    <m/>
    <n v="1"/>
    <m/>
    <m/>
  </r>
  <r>
    <x v="5"/>
    <x v="1"/>
    <x v="1"/>
    <x v="1"/>
    <n v="22.7"/>
    <s v="Blanca"/>
    <n v="24"/>
    <m/>
    <x v="5"/>
    <x v="11"/>
    <n v="1"/>
    <n v="85"/>
    <n v="50000"/>
    <n v="1"/>
    <m/>
    <m/>
  </r>
  <r>
    <x v="5"/>
    <x v="11"/>
    <x v="11"/>
    <x v="11"/>
    <n v="15.6"/>
    <s v="Blanca"/>
    <n v="15"/>
    <m/>
    <x v="6"/>
    <x v="15"/>
    <m/>
    <n v="75"/>
    <m/>
    <n v="1"/>
    <m/>
    <m/>
  </r>
  <r>
    <x v="5"/>
    <x v="15"/>
    <x v="15"/>
    <x v="15"/>
    <n v="26"/>
    <s v="Blanca"/>
    <n v="28"/>
    <m/>
    <x v="7"/>
    <x v="16"/>
    <n v="1"/>
    <n v="60"/>
    <m/>
    <n v="1"/>
    <m/>
    <m/>
  </r>
  <r>
    <x v="5"/>
    <x v="23"/>
    <x v="22"/>
    <x v="22"/>
    <n v="13.3"/>
    <s v="Azul"/>
    <n v="14"/>
    <m/>
    <x v="5"/>
    <x v="14"/>
    <n v="1"/>
    <n v="55"/>
    <m/>
    <n v="1"/>
    <m/>
    <m/>
  </r>
  <r>
    <x v="5"/>
    <x v="4"/>
    <x v="4"/>
    <x v="4"/>
    <n v="11.4"/>
    <s v="Azul"/>
    <n v="12"/>
    <m/>
    <x v="8"/>
    <x v="5"/>
    <m/>
    <n v="90"/>
    <n v="120000"/>
    <n v="1"/>
    <m/>
    <m/>
  </r>
  <r>
    <x v="5"/>
    <x v="16"/>
    <x v="16"/>
    <x v="16"/>
    <n v="21.6"/>
    <s v="Blanca"/>
    <n v="18"/>
    <m/>
    <x v="9"/>
    <x v="17"/>
    <m/>
    <n v="50"/>
    <m/>
    <n v="1"/>
    <m/>
    <m/>
  </r>
  <r>
    <x v="5"/>
    <x v="19"/>
    <x v="10"/>
    <x v="19"/>
    <n v="9.8000000000000007"/>
    <s v="Azul"/>
    <n v="10"/>
    <m/>
    <x v="10"/>
    <x v="12"/>
    <m/>
    <n v="70"/>
    <m/>
    <n v="1"/>
    <m/>
    <m/>
  </r>
  <r>
    <x v="5"/>
    <x v="7"/>
    <x v="7"/>
    <x v="7"/>
    <n v="9"/>
    <s v="Azul"/>
    <n v="10"/>
    <m/>
    <x v="11"/>
    <x v="16"/>
    <m/>
    <n v="60"/>
    <m/>
    <n v="1"/>
    <m/>
    <m/>
  </r>
  <r>
    <x v="5"/>
    <x v="5"/>
    <x v="5"/>
    <x v="5"/>
    <n v="23.3"/>
    <s v="Blanca"/>
    <n v="24"/>
    <m/>
    <x v="12"/>
    <x v="18"/>
    <m/>
    <n v="45"/>
    <m/>
    <n v="1"/>
    <m/>
    <m/>
  </r>
  <r>
    <x v="5"/>
    <x v="51"/>
    <x v="49"/>
    <x v="47"/>
    <n v="29.8"/>
    <s v="Blanca"/>
    <n v="32"/>
    <m/>
    <x v="13"/>
    <x v="4"/>
    <m/>
    <n v="95"/>
    <n v="140000"/>
    <n v="1"/>
    <m/>
    <m/>
  </r>
  <r>
    <x v="5"/>
    <x v="18"/>
    <x v="18"/>
    <x v="18"/>
    <n v="12.1"/>
    <s v="Azul"/>
    <n v="12"/>
    <m/>
    <x v="14"/>
    <x v="11"/>
    <n v="1"/>
    <n v="85"/>
    <n v="50000"/>
    <n v="1"/>
    <m/>
    <m/>
  </r>
  <r>
    <x v="5"/>
    <x v="21"/>
    <x v="20"/>
    <x v="21"/>
    <n v="20.7"/>
    <s v="Blanca"/>
    <n v="20"/>
    <m/>
    <x v="15"/>
    <x v="1"/>
    <m/>
    <n v="100"/>
    <n v="200000"/>
    <n v="1"/>
    <m/>
    <m/>
  </r>
  <r>
    <x v="5"/>
    <x v="17"/>
    <x v="17"/>
    <x v="17"/>
    <n v="27.1"/>
    <s v="Blanca"/>
    <n v="28"/>
    <m/>
    <x v="7"/>
    <x v="16"/>
    <m/>
    <n v="60"/>
    <m/>
    <n v="1"/>
    <m/>
    <m/>
  </r>
  <r>
    <x v="5"/>
    <x v="27"/>
    <x v="26"/>
    <x v="26"/>
    <n v="23.6"/>
    <s v="Blanca"/>
    <n v="24"/>
    <m/>
    <x v="2"/>
    <x v="2"/>
    <m/>
    <n v="80"/>
    <m/>
    <n v="1"/>
    <m/>
    <m/>
  </r>
  <r>
    <x v="5"/>
    <x v="20"/>
    <x v="19"/>
    <x v="20"/>
    <n v="18"/>
    <s v="Blanca"/>
    <n v="18"/>
    <m/>
    <x v="9"/>
    <x v="17"/>
    <m/>
    <n v="50"/>
    <m/>
    <n v="1"/>
    <m/>
    <m/>
  </r>
  <r>
    <x v="6"/>
    <x v="3"/>
    <x v="3"/>
    <x v="3"/>
    <n v="15.1"/>
    <s v="Azules - 5924"/>
    <n v="16"/>
    <m/>
    <x v="10"/>
    <x v="19"/>
    <m/>
    <n v="75"/>
    <m/>
    <n v="1"/>
    <m/>
    <m/>
  </r>
  <r>
    <x v="6"/>
    <x v="22"/>
    <x v="21"/>
    <x v="8"/>
    <n v="17.899999999999999"/>
    <s v="Azules - 5924"/>
    <n v="20"/>
    <m/>
    <x v="16"/>
    <x v="12"/>
    <m/>
    <n v="50"/>
    <m/>
    <n v="1"/>
    <m/>
    <m/>
  </r>
  <r>
    <x v="6"/>
    <x v="16"/>
    <x v="16"/>
    <x v="16"/>
    <n v="18.7"/>
    <s v="Blancas - 5710"/>
    <n v="18"/>
    <m/>
    <x v="17"/>
    <x v="5"/>
    <m/>
    <n v="70"/>
    <m/>
    <n v="1"/>
    <m/>
    <m/>
  </r>
  <r>
    <x v="6"/>
    <x v="7"/>
    <x v="7"/>
    <x v="7"/>
    <n v="10.1"/>
    <s v="Azules - 5924"/>
    <n v="10"/>
    <m/>
    <x v="11"/>
    <x v="16"/>
    <m/>
    <n v="45"/>
    <m/>
    <n v="1"/>
    <m/>
    <m/>
  </r>
  <r>
    <x v="6"/>
    <x v="11"/>
    <x v="11"/>
    <x v="11"/>
    <n v="15.7"/>
    <s v="Azules - 5924"/>
    <n v="17"/>
    <m/>
    <x v="18"/>
    <x v="13"/>
    <m/>
    <n v="90"/>
    <n v="140000"/>
    <n v="1"/>
    <m/>
    <m/>
  </r>
  <r>
    <x v="6"/>
    <x v="0"/>
    <x v="0"/>
    <x v="0"/>
    <n v="15.2"/>
    <s v="Azules - 5924"/>
    <n v="16"/>
    <m/>
    <x v="19"/>
    <x v="17"/>
    <n v="1"/>
    <n v="30"/>
    <m/>
    <n v="1"/>
    <m/>
    <n v="180000"/>
  </r>
  <r>
    <x v="6"/>
    <x v="9"/>
    <x v="9"/>
    <x v="9"/>
    <n v="10.9"/>
    <s v="Azules - 5924"/>
    <n v="11"/>
    <m/>
    <x v="20"/>
    <x v="20"/>
    <m/>
    <n v="95"/>
    <n v="180000"/>
    <n v="1"/>
    <m/>
    <m/>
  </r>
  <r>
    <x v="6"/>
    <x v="1"/>
    <x v="1"/>
    <x v="1"/>
    <n v="23.3"/>
    <s v="Blancas - 5710"/>
    <n v="24"/>
    <m/>
    <x v="5"/>
    <x v="11"/>
    <n v="1"/>
    <n v="65"/>
    <m/>
    <n v="1"/>
    <m/>
    <m/>
  </r>
  <r>
    <x v="6"/>
    <x v="18"/>
    <x v="18"/>
    <x v="18"/>
    <n v="11.8"/>
    <s v="Azules - 5924"/>
    <n v="12"/>
    <m/>
    <x v="10"/>
    <x v="6"/>
    <n v="1"/>
    <n v="55"/>
    <m/>
    <n v="1"/>
    <m/>
    <m/>
  </r>
  <r>
    <x v="6"/>
    <x v="17"/>
    <x v="17"/>
    <x v="17"/>
    <n v="27.2"/>
    <s v="Blancas - 5710"/>
    <n v="28"/>
    <m/>
    <x v="21"/>
    <x v="7"/>
    <m/>
    <n v="35"/>
    <m/>
    <n v="1"/>
    <m/>
    <m/>
  </r>
  <r>
    <x v="6"/>
    <x v="8"/>
    <x v="8"/>
    <x v="8"/>
    <n v="23.3"/>
    <s v="Blancas - 5710"/>
    <n v="24"/>
    <m/>
    <x v="22"/>
    <x v="12"/>
    <m/>
    <n v="50"/>
    <m/>
    <n v="1"/>
    <m/>
    <m/>
  </r>
  <r>
    <x v="6"/>
    <x v="20"/>
    <x v="19"/>
    <x v="20"/>
    <n v="18"/>
    <s v="Blancas - 5710"/>
    <n v="18"/>
    <m/>
    <x v="6"/>
    <x v="11"/>
    <m/>
    <n v="65"/>
    <m/>
    <n v="1"/>
    <m/>
    <m/>
  </r>
  <r>
    <x v="6"/>
    <x v="14"/>
    <x v="14"/>
    <x v="14"/>
    <n v="16.7"/>
    <s v="Azules - 5924"/>
    <n v="18"/>
    <m/>
    <x v="15"/>
    <x v="4"/>
    <m/>
    <n v="80"/>
    <n v="80000"/>
    <n v="1"/>
    <m/>
    <m/>
  </r>
  <r>
    <x v="6"/>
    <x v="2"/>
    <x v="2"/>
    <x v="2"/>
    <n v="11.6"/>
    <s v="Azules - 5924"/>
    <n v="12"/>
    <m/>
    <x v="10"/>
    <x v="6"/>
    <m/>
    <n v="55"/>
    <m/>
    <n v="1"/>
    <m/>
    <m/>
  </r>
  <r>
    <x v="6"/>
    <x v="4"/>
    <x v="4"/>
    <x v="4"/>
    <n v="11.4"/>
    <s v="Azules - 5924"/>
    <n v="12"/>
    <m/>
    <x v="23"/>
    <x v="1"/>
    <n v="1"/>
    <n v="85"/>
    <n v="100000"/>
    <n v="1"/>
    <m/>
    <m/>
  </r>
  <r>
    <x v="6"/>
    <x v="21"/>
    <x v="20"/>
    <x v="21"/>
    <n v="19.5"/>
    <s v="Blancas - 5710"/>
    <n v="19"/>
    <m/>
    <x v="24"/>
    <x v="17"/>
    <m/>
    <n v="30"/>
    <m/>
    <n v="1"/>
    <m/>
    <m/>
  </r>
  <r>
    <x v="6"/>
    <x v="27"/>
    <x v="26"/>
    <x v="26"/>
    <n v="23.6"/>
    <s v="Blancas - 5710"/>
    <n v="24"/>
    <m/>
    <x v="25"/>
    <x v="8"/>
    <m/>
    <n v="40"/>
    <m/>
    <n v="1"/>
    <m/>
    <m/>
  </r>
  <r>
    <x v="6"/>
    <x v="24"/>
    <x v="23"/>
    <x v="23"/>
    <n v="9.1999999999999993"/>
    <s v="Azules - 5924"/>
    <n v="9"/>
    <m/>
    <x v="8"/>
    <x v="6"/>
    <m/>
    <n v="55"/>
    <m/>
    <n v="1"/>
    <m/>
    <m/>
  </r>
  <r>
    <x v="6"/>
    <x v="28"/>
    <x v="27"/>
    <x v="27"/>
    <n v="14.1"/>
    <s v="Azules - 5924"/>
    <n v="15"/>
    <m/>
    <x v="11"/>
    <x v="2"/>
    <n v="1"/>
    <n v="60"/>
    <m/>
    <n v="1"/>
    <m/>
    <m/>
  </r>
  <r>
    <x v="6"/>
    <x v="10"/>
    <x v="10"/>
    <x v="10"/>
    <n v="13.3"/>
    <s v="Azules - 5924"/>
    <n v="14"/>
    <m/>
    <x v="26"/>
    <x v="21"/>
    <n v="1"/>
    <n v="100"/>
    <n v="220000"/>
    <n v="1"/>
    <m/>
    <m/>
  </r>
  <r>
    <x v="7"/>
    <x v="9"/>
    <x v="9"/>
    <x v="9"/>
    <n v="10.4"/>
    <s v="Azules - 5924"/>
    <n v="10"/>
    <m/>
    <x v="27"/>
    <x v="19"/>
    <m/>
    <n v="90"/>
    <n v="50000"/>
    <n v="1"/>
    <m/>
    <m/>
  </r>
  <r>
    <x v="7"/>
    <x v="10"/>
    <x v="10"/>
    <x v="10"/>
    <n v="12.8"/>
    <s v="Azules - 5924"/>
    <n v="13"/>
    <m/>
    <x v="4"/>
    <x v="16"/>
    <m/>
    <n v="55"/>
    <m/>
    <n v="1"/>
    <m/>
    <m/>
  </r>
  <r>
    <x v="7"/>
    <x v="1"/>
    <x v="1"/>
    <x v="1"/>
    <n v="23.1"/>
    <s v="Blancas - 5710"/>
    <n v="23"/>
    <m/>
    <x v="5"/>
    <x v="2"/>
    <m/>
    <n v="80"/>
    <m/>
    <n v="1"/>
    <m/>
    <m/>
  </r>
  <r>
    <x v="7"/>
    <x v="16"/>
    <x v="16"/>
    <x v="16"/>
    <n v="18.7"/>
    <s v="Blancas - 5710"/>
    <n v="18"/>
    <m/>
    <x v="6"/>
    <x v="11"/>
    <m/>
    <n v="85"/>
    <m/>
    <n v="1"/>
    <m/>
    <m/>
  </r>
  <r>
    <x v="7"/>
    <x v="6"/>
    <x v="6"/>
    <x v="6"/>
    <n v="22.3"/>
    <s v="Blanca"/>
    <n v="20"/>
    <m/>
    <x v="28"/>
    <x v="15"/>
    <m/>
    <n v="70"/>
    <m/>
    <n v="1"/>
    <m/>
    <m/>
  </r>
  <r>
    <x v="7"/>
    <x v="4"/>
    <x v="4"/>
    <x v="4"/>
    <n v="11.4"/>
    <s v="Azules - 5924"/>
    <n v="12"/>
    <m/>
    <x v="23"/>
    <x v="1"/>
    <n v="1"/>
    <n v="100"/>
    <n v="160000"/>
    <n v="1"/>
    <m/>
    <m/>
  </r>
  <r>
    <x v="7"/>
    <x v="22"/>
    <x v="21"/>
    <x v="8"/>
    <n v="17.899999999999999"/>
    <s v="Blancas - 5710"/>
    <n v="18"/>
    <m/>
    <x v="29"/>
    <x v="6"/>
    <m/>
    <n v="75"/>
    <m/>
    <n v="1"/>
    <m/>
    <m/>
  </r>
  <r>
    <x v="7"/>
    <x v="0"/>
    <x v="0"/>
    <x v="0"/>
    <n v="16.600000000000001"/>
    <s v="Azules - 5924"/>
    <n v="18"/>
    <m/>
    <x v="16"/>
    <x v="12"/>
    <n v="1"/>
    <n v="65"/>
    <m/>
    <n v="1"/>
    <m/>
    <n v="140000"/>
  </r>
  <r>
    <x v="7"/>
    <x v="15"/>
    <x v="15"/>
    <x v="15"/>
    <n v="26"/>
    <s v="Blanca"/>
    <n v="28"/>
    <m/>
    <x v="19"/>
    <x v="6"/>
    <m/>
    <n v="75"/>
    <m/>
    <n v="1"/>
    <m/>
    <m/>
  </r>
  <r>
    <x v="7"/>
    <x v="2"/>
    <x v="2"/>
    <x v="2"/>
    <n v="11.6"/>
    <s v="Azules - 5924"/>
    <n v="12"/>
    <m/>
    <x v="30"/>
    <x v="19"/>
    <m/>
    <n v="90"/>
    <n v="50000"/>
    <n v="1"/>
    <m/>
    <m/>
  </r>
  <r>
    <x v="7"/>
    <x v="23"/>
    <x v="22"/>
    <x v="22"/>
    <n v="13.3"/>
    <s v="Azul"/>
    <n v="14"/>
    <m/>
    <x v="4"/>
    <x v="10"/>
    <m/>
    <n v="60"/>
    <m/>
    <n v="1"/>
    <m/>
    <m/>
  </r>
  <r>
    <x v="7"/>
    <x v="14"/>
    <x v="14"/>
    <x v="14"/>
    <n v="16.7"/>
    <s v="Azules - 5924"/>
    <n v="18"/>
    <m/>
    <x v="10"/>
    <x v="3"/>
    <m/>
    <n v="95"/>
    <n v="140000"/>
    <n v="1"/>
    <m/>
    <m/>
  </r>
  <r>
    <x v="8"/>
    <x v="22"/>
    <x v="21"/>
    <x v="8"/>
    <s v="18,6"/>
    <s v="Blancas - 5710"/>
    <s v="18"/>
    <m/>
    <x v="16"/>
    <x v="12"/>
    <m/>
    <n v="70"/>
    <m/>
    <n v="1"/>
    <m/>
    <m/>
  </r>
  <r>
    <x v="8"/>
    <x v="10"/>
    <x v="10"/>
    <x v="10"/>
    <s v="12,8"/>
    <s v="Azules - 5924"/>
    <s v="13"/>
    <m/>
    <x v="27"/>
    <x v="1"/>
    <n v="1"/>
    <n v="95"/>
    <n v="170000"/>
    <n v="1"/>
    <m/>
    <n v="170000"/>
  </r>
  <r>
    <x v="8"/>
    <x v="0"/>
    <x v="0"/>
    <x v="0"/>
    <s v="17,3"/>
    <s v="Azules - 5924"/>
    <s v="19"/>
    <m/>
    <x v="1"/>
    <x v="6"/>
    <n v="1"/>
    <n v="80"/>
    <m/>
    <n v="1"/>
    <m/>
    <m/>
  </r>
  <r>
    <x v="8"/>
    <x v="1"/>
    <x v="1"/>
    <x v="1"/>
    <s v="23,1"/>
    <s v="Blancas - 5710"/>
    <s v="23"/>
    <m/>
    <x v="31"/>
    <x v="22"/>
    <n v="1"/>
    <n v="40"/>
    <m/>
    <n v="1"/>
    <m/>
    <m/>
  </r>
  <r>
    <x v="8"/>
    <x v="11"/>
    <x v="11"/>
    <x v="11"/>
    <n v="16.100000000000001"/>
    <s v="Blancas - 5710"/>
    <n v="16"/>
    <m/>
    <x v="28"/>
    <x v="8"/>
    <m/>
    <n v="55"/>
    <m/>
    <n v="1"/>
    <m/>
    <m/>
  </r>
  <r>
    <x v="8"/>
    <x v="4"/>
    <x v="4"/>
    <x v="4"/>
    <s v="11,5"/>
    <s v="Azules - 5924"/>
    <s v="12"/>
    <m/>
    <x v="32"/>
    <x v="13"/>
    <n v="1"/>
    <n v="100"/>
    <n v="190000"/>
    <n v="1"/>
    <m/>
    <m/>
  </r>
  <r>
    <x v="8"/>
    <x v="16"/>
    <x v="16"/>
    <x v="16"/>
    <s v="18,8"/>
    <s v="Blancas - 5710"/>
    <s v="19"/>
    <m/>
    <x v="29"/>
    <x v="2"/>
    <m/>
    <n v="85"/>
    <n v="35000"/>
    <n v="1"/>
    <m/>
    <m/>
  </r>
  <r>
    <x v="8"/>
    <x v="15"/>
    <x v="15"/>
    <x v="15"/>
    <s v="27,3"/>
    <s v="Blancas - 5710"/>
    <s v="28"/>
    <m/>
    <x v="12"/>
    <x v="23"/>
    <m/>
    <n v="50"/>
    <m/>
    <n v="1"/>
    <m/>
    <m/>
  </r>
  <r>
    <x v="8"/>
    <x v="2"/>
    <x v="2"/>
    <x v="2"/>
    <s v="11,7"/>
    <s v="Azules - 5924"/>
    <s v="12"/>
    <m/>
    <x v="6"/>
    <x v="16"/>
    <m/>
    <n v="60"/>
    <m/>
    <n v="1"/>
    <m/>
    <m/>
  </r>
  <r>
    <x v="8"/>
    <x v="29"/>
    <x v="28"/>
    <x v="28"/>
    <s v="17,9"/>
    <s v="Azules - 5924"/>
    <s v="20"/>
    <m/>
    <x v="25"/>
    <x v="23"/>
    <m/>
    <n v="50"/>
    <m/>
    <n v="1"/>
    <m/>
    <m/>
  </r>
  <r>
    <x v="8"/>
    <x v="19"/>
    <x v="10"/>
    <x v="19"/>
    <s v="9,9"/>
    <s v="Azules - 5924"/>
    <s v="10"/>
    <m/>
    <x v="15"/>
    <x v="10"/>
    <m/>
    <n v="65"/>
    <m/>
    <n v="1"/>
    <m/>
    <m/>
  </r>
  <r>
    <x v="8"/>
    <x v="25"/>
    <x v="24"/>
    <x v="24"/>
    <s v="11,9"/>
    <s v="Azules - 5924"/>
    <s v="12"/>
    <m/>
    <x v="17"/>
    <x v="10"/>
    <n v="1"/>
    <n v="65"/>
    <m/>
    <n v="1"/>
    <m/>
    <m/>
  </r>
  <r>
    <x v="8"/>
    <x v="24"/>
    <x v="23"/>
    <x v="23"/>
    <s v="8,3"/>
    <s v="Azules - 5924"/>
    <s v="8"/>
    <m/>
    <x v="8"/>
    <x v="15"/>
    <n v="1"/>
    <n v="75"/>
    <m/>
    <n v="1"/>
    <m/>
    <m/>
  </r>
  <r>
    <x v="8"/>
    <x v="6"/>
    <x v="6"/>
    <x v="6"/>
    <s v="19,8"/>
    <s v="Blancas - 5710"/>
    <s v="20"/>
    <m/>
    <x v="29"/>
    <x v="11"/>
    <m/>
    <n v="90"/>
    <n v="120000"/>
    <n v="1"/>
    <m/>
    <m/>
  </r>
  <r>
    <x v="8"/>
    <x v="7"/>
    <x v="7"/>
    <x v="7"/>
    <s v="10,5"/>
    <s v="Azules - 5924"/>
    <s v="11"/>
    <m/>
    <x v="15"/>
    <x v="12"/>
    <m/>
    <n v="70"/>
    <m/>
    <n v="1"/>
    <m/>
    <m/>
  </r>
  <r>
    <x v="8"/>
    <x v="26"/>
    <x v="25"/>
    <x v="25"/>
    <s v="17,6"/>
    <s v="Azules - 5924"/>
    <s v="19"/>
    <m/>
    <x v="4"/>
    <x v="11"/>
    <m/>
    <n v="90"/>
    <n v="120000"/>
    <n v="1"/>
    <m/>
    <m/>
  </r>
  <r>
    <x v="8"/>
    <x v="20"/>
    <x v="19"/>
    <x v="20"/>
    <s v="18,3"/>
    <s v="Blancas - 5710"/>
    <s v="18"/>
    <m/>
    <x v="25"/>
    <x v="24"/>
    <m/>
    <n v="45"/>
    <m/>
    <n v="1"/>
    <m/>
    <m/>
  </r>
  <r>
    <x v="8"/>
    <x v="5"/>
    <x v="5"/>
    <x v="5"/>
    <s v="23,9"/>
    <s v="Blancas - 5710"/>
    <s v="24"/>
    <m/>
    <x v="33"/>
    <x v="6"/>
    <m/>
    <n v="80"/>
    <m/>
    <n v="1"/>
    <m/>
    <m/>
  </r>
  <r>
    <x v="8"/>
    <x v="21"/>
    <x v="20"/>
    <x v="21"/>
    <n v="19.5"/>
    <s v="Blancas - 5710"/>
    <n v="19"/>
    <m/>
    <x v="29"/>
    <x v="2"/>
    <m/>
    <n v="85"/>
    <n v="35000"/>
    <n v="1"/>
    <m/>
    <m/>
  </r>
  <r>
    <x v="9"/>
    <x v="9"/>
    <x v="9"/>
    <x v="9"/>
    <n v="10.199999999999999"/>
    <s v="Azules - 5924"/>
    <n v="10"/>
    <m/>
    <x v="14"/>
    <x v="6"/>
    <m/>
    <n v="75"/>
    <m/>
    <n v="1"/>
    <m/>
    <m/>
  </r>
  <r>
    <x v="9"/>
    <x v="11"/>
    <x v="11"/>
    <x v="11"/>
    <n v="16.399999999999999"/>
    <s v="Blancas - 5710"/>
    <n v="16"/>
    <m/>
    <x v="17"/>
    <x v="2"/>
    <n v="1"/>
    <n v="80"/>
    <m/>
    <n v="1"/>
    <m/>
    <m/>
  </r>
  <r>
    <x v="9"/>
    <x v="22"/>
    <x v="21"/>
    <x v="8"/>
    <n v="19"/>
    <s v="Blancas - 5710"/>
    <n v="19"/>
    <m/>
    <x v="10"/>
    <x v="1"/>
    <m/>
    <n v="95"/>
    <n v="140000"/>
    <n v="1"/>
    <m/>
    <m/>
  </r>
  <r>
    <x v="9"/>
    <x v="6"/>
    <x v="6"/>
    <x v="6"/>
    <n v="19.8"/>
    <s v="Blancas - 5710"/>
    <n v="20"/>
    <m/>
    <x v="29"/>
    <x v="11"/>
    <m/>
    <n v="85"/>
    <m/>
    <n v="1"/>
    <m/>
    <m/>
  </r>
  <r>
    <x v="9"/>
    <x v="16"/>
    <x v="16"/>
    <x v="16"/>
    <n v="18.8"/>
    <s v="Blancas - 5710"/>
    <n v="19"/>
    <m/>
    <x v="5"/>
    <x v="10"/>
    <m/>
    <n v="65"/>
    <m/>
    <n v="1"/>
    <m/>
    <m/>
  </r>
  <r>
    <x v="9"/>
    <x v="18"/>
    <x v="18"/>
    <x v="18"/>
    <n v="11.8"/>
    <s v="Azules - 5924"/>
    <n v="12"/>
    <m/>
    <x v="22"/>
    <x v="25"/>
    <m/>
    <n v="50"/>
    <m/>
    <n v="1"/>
    <m/>
    <m/>
  </r>
  <r>
    <x v="9"/>
    <x v="24"/>
    <x v="23"/>
    <x v="23"/>
    <n v="8.6999999999999993"/>
    <s v="Azules - 5924"/>
    <n v="8"/>
    <m/>
    <x v="15"/>
    <x v="8"/>
    <n v="1"/>
    <n v="60"/>
    <m/>
    <n v="1"/>
    <m/>
    <m/>
  </r>
  <r>
    <x v="9"/>
    <x v="19"/>
    <x v="10"/>
    <x v="19"/>
    <n v="10.199999999999999"/>
    <s v="Azules - 5924"/>
    <n v="10"/>
    <m/>
    <x v="34"/>
    <x v="13"/>
    <m/>
    <n v="100"/>
    <n v="190000"/>
    <n v="1"/>
    <m/>
    <m/>
  </r>
  <r>
    <x v="9"/>
    <x v="7"/>
    <x v="7"/>
    <x v="7"/>
    <n v="10.5"/>
    <s v="Azules - 5924"/>
    <n v="11"/>
    <m/>
    <x v="10"/>
    <x v="15"/>
    <m/>
    <n v="70"/>
    <m/>
    <n v="1"/>
    <m/>
    <m/>
  </r>
  <r>
    <x v="9"/>
    <x v="8"/>
    <x v="8"/>
    <x v="8"/>
    <n v="24.4"/>
    <s v="Blancas - 5710"/>
    <n v="25"/>
    <m/>
    <x v="24"/>
    <x v="7"/>
    <m/>
    <n v="55"/>
    <m/>
    <n v="1"/>
    <m/>
    <m/>
  </r>
  <r>
    <x v="9"/>
    <x v="10"/>
    <x v="10"/>
    <x v="10"/>
    <n v="12.4"/>
    <s v="Azules - 5924"/>
    <n v="13"/>
    <m/>
    <x v="6"/>
    <x v="10"/>
    <n v="1"/>
    <n v="65"/>
    <m/>
    <n v="1"/>
    <m/>
    <n v="110000"/>
  </r>
  <r>
    <x v="9"/>
    <x v="2"/>
    <x v="2"/>
    <x v="2"/>
    <n v="11.7"/>
    <s v="Azules - 5924"/>
    <n v="12"/>
    <m/>
    <x v="27"/>
    <x v="3"/>
    <m/>
    <n v="90"/>
    <n v="100000"/>
    <n v="1"/>
    <m/>
    <m/>
  </r>
  <r>
    <x v="10"/>
    <x v="9"/>
    <x v="9"/>
    <x v="9"/>
    <s v="9,8"/>
    <s v="Azules - 5924"/>
    <n v="10"/>
    <m/>
    <x v="14"/>
    <x v="6"/>
    <m/>
    <n v="120"/>
    <m/>
    <n v="1"/>
    <m/>
    <n v="140000"/>
  </r>
  <r>
    <x v="10"/>
    <x v="4"/>
    <x v="4"/>
    <x v="4"/>
    <s v="11,3"/>
    <s v="Azules - 5924"/>
    <s v="11"/>
    <m/>
    <x v="17"/>
    <x v="16"/>
    <m/>
    <n v="100"/>
    <m/>
    <n v="1"/>
    <m/>
    <m/>
  </r>
  <r>
    <x v="10"/>
    <x v="25"/>
    <x v="24"/>
    <x v="24"/>
    <s v="11,9"/>
    <s v="Azules - 5924"/>
    <s v="12"/>
    <m/>
    <x v="30"/>
    <x v="19"/>
    <m/>
    <n v="170"/>
    <n v="100000"/>
    <n v="1"/>
    <m/>
    <m/>
  </r>
  <r>
    <x v="10"/>
    <x v="18"/>
    <x v="18"/>
    <x v="18"/>
    <n v="11.8"/>
    <s v="Azules - 5924"/>
    <n v="12"/>
    <m/>
    <x v="10"/>
    <x v="6"/>
    <m/>
    <n v="120"/>
    <m/>
    <n v="1"/>
    <m/>
    <m/>
  </r>
  <r>
    <x v="10"/>
    <x v="11"/>
    <x v="11"/>
    <x v="11"/>
    <s v="16,2"/>
    <s v="Blancas - 5710"/>
    <n v="16"/>
    <m/>
    <x v="17"/>
    <x v="2"/>
    <m/>
    <n v="130"/>
    <m/>
    <n v="1"/>
    <m/>
    <m/>
  </r>
  <r>
    <x v="10"/>
    <x v="0"/>
    <x v="0"/>
    <x v="0"/>
    <s v="17,8"/>
    <s v="Azules - 5924"/>
    <s v="19"/>
    <m/>
    <x v="33"/>
    <x v="8"/>
    <m/>
    <n v="90"/>
    <m/>
    <n v="1"/>
    <m/>
    <m/>
  </r>
  <r>
    <x v="10"/>
    <x v="26"/>
    <x v="25"/>
    <x v="25"/>
    <s v="17,6"/>
    <s v="Azules - 5924"/>
    <s v="19"/>
    <m/>
    <x v="10"/>
    <x v="1"/>
    <m/>
    <n v="180"/>
    <n v="140000"/>
    <n v="1"/>
    <m/>
    <m/>
  </r>
  <r>
    <x v="10"/>
    <x v="21"/>
    <x v="20"/>
    <x v="21"/>
    <n v="19.5"/>
    <s v="Blancas - 5710"/>
    <n v="19"/>
    <m/>
    <x v="24"/>
    <x v="17"/>
    <m/>
    <n v="80"/>
    <m/>
    <n v="1"/>
    <m/>
    <m/>
  </r>
  <r>
    <x v="10"/>
    <x v="1"/>
    <x v="1"/>
    <x v="1"/>
    <s v="23,1"/>
    <s v="Blancas - 5710"/>
    <s v="23"/>
    <m/>
    <x v="16"/>
    <x v="5"/>
    <m/>
    <n v="160"/>
    <m/>
    <n v="1"/>
    <m/>
    <m/>
  </r>
  <r>
    <x v="10"/>
    <x v="8"/>
    <x v="8"/>
    <x v="8"/>
    <n v="24.4"/>
    <s v="Blancas - 5710"/>
    <n v="25"/>
    <m/>
    <x v="35"/>
    <x v="18"/>
    <m/>
    <n v="70"/>
    <m/>
    <n v="1"/>
    <m/>
    <m/>
  </r>
  <r>
    <x v="10"/>
    <x v="13"/>
    <x v="13"/>
    <x v="13"/>
    <s v="24,8"/>
    <s v="Blancas - 5710"/>
    <s v="25"/>
    <m/>
    <x v="25"/>
    <x v="16"/>
    <m/>
    <n v="100"/>
    <m/>
    <n v="1"/>
    <m/>
    <m/>
  </r>
  <r>
    <x v="10"/>
    <x v="15"/>
    <x v="15"/>
    <x v="15"/>
    <n v="27"/>
    <s v="Blancas - 5710"/>
    <s v="28"/>
    <m/>
    <x v="29"/>
    <x v="20"/>
    <m/>
    <n v="200"/>
    <n v="200000"/>
    <n v="1"/>
    <m/>
    <m/>
  </r>
  <r>
    <x v="10"/>
    <x v="3"/>
    <x v="3"/>
    <x v="3"/>
    <s v="15,4"/>
    <s v="Blancas - 5710"/>
    <n v="15"/>
    <m/>
    <x v="4"/>
    <x v="12"/>
    <m/>
    <n v="110"/>
    <m/>
    <n v="1"/>
    <m/>
    <m/>
  </r>
  <r>
    <x v="10"/>
    <x v="16"/>
    <x v="16"/>
    <x v="16"/>
    <s v="18,7"/>
    <s v="Blancas - 5710"/>
    <s v="18"/>
    <m/>
    <x v="6"/>
    <x v="11"/>
    <m/>
    <n v="140"/>
    <m/>
    <n v="1"/>
    <m/>
    <m/>
  </r>
  <r>
    <x v="10"/>
    <x v="6"/>
    <x v="6"/>
    <x v="6"/>
    <s v="19,2"/>
    <s v="Blancas - 5710"/>
    <s v="19"/>
    <m/>
    <x v="14"/>
    <x v="9"/>
    <m/>
    <n v="190"/>
    <n v="160000"/>
    <n v="1"/>
    <m/>
    <m/>
  </r>
  <r>
    <x v="10"/>
    <x v="20"/>
    <x v="19"/>
    <x v="20"/>
    <s v="18,3"/>
    <s v="Blancas - 5710"/>
    <s v="18"/>
    <m/>
    <x v="17"/>
    <x v="5"/>
    <m/>
    <n v="150"/>
    <m/>
    <n v="1"/>
    <m/>
    <m/>
  </r>
  <r>
    <x v="11"/>
    <x v="1"/>
    <x v="1"/>
    <x v="1"/>
    <s v="23,1"/>
    <s v="Blancas - 5710"/>
    <s v="23"/>
    <m/>
    <x v="36"/>
    <x v="12"/>
    <m/>
    <n v="110"/>
    <m/>
    <n v="1"/>
    <m/>
    <m/>
  </r>
  <r>
    <x v="11"/>
    <x v="11"/>
    <x v="11"/>
    <x v="11"/>
    <s v="16,2"/>
    <s v="Blancas - 5710"/>
    <n v="16"/>
    <m/>
    <x v="30"/>
    <x v="13"/>
    <m/>
    <n v="180"/>
    <n v="120000"/>
    <n v="1"/>
    <m/>
    <m/>
  </r>
  <r>
    <x v="11"/>
    <x v="9"/>
    <x v="9"/>
    <x v="9"/>
    <s v="9,8"/>
    <s v="Azules - 5924"/>
    <n v="10"/>
    <m/>
    <x v="30"/>
    <x v="11"/>
    <m/>
    <n v="150"/>
    <m/>
    <n v="1"/>
    <m/>
    <n v="140000"/>
  </r>
  <r>
    <x v="11"/>
    <x v="18"/>
    <x v="18"/>
    <x v="18"/>
    <n v="11.8"/>
    <s v="Azules - 5924"/>
    <n v="12"/>
    <m/>
    <x v="30"/>
    <x v="19"/>
    <m/>
    <n v="160"/>
    <m/>
    <n v="1"/>
    <m/>
    <m/>
  </r>
  <r>
    <x v="11"/>
    <x v="3"/>
    <x v="3"/>
    <x v="3"/>
    <s v="15,4"/>
    <s v="Blancas - 5710"/>
    <n v="15"/>
    <m/>
    <x v="8"/>
    <x v="3"/>
    <m/>
    <n v="170"/>
    <n v="50000"/>
    <n v="1"/>
    <m/>
    <m/>
  </r>
  <r>
    <x v="11"/>
    <x v="4"/>
    <x v="4"/>
    <x v="4"/>
    <s v="11,3"/>
    <s v="Azules - 5924"/>
    <s v="11"/>
    <m/>
    <x v="3"/>
    <x v="6"/>
    <m/>
    <n v="130"/>
    <m/>
    <n v="1"/>
    <m/>
    <m/>
  </r>
  <r>
    <x v="11"/>
    <x v="13"/>
    <x v="13"/>
    <x v="13"/>
    <s v="24,8"/>
    <s v="Blancas - 5710"/>
    <s v="25"/>
    <m/>
    <x v="28"/>
    <x v="19"/>
    <m/>
    <n v="160"/>
    <m/>
    <n v="1"/>
    <m/>
    <m/>
  </r>
  <r>
    <x v="11"/>
    <x v="8"/>
    <x v="8"/>
    <x v="8"/>
    <n v="24.4"/>
    <s v="Blancas - 5710"/>
    <n v="25"/>
    <m/>
    <x v="22"/>
    <x v="15"/>
    <m/>
    <n v="120"/>
    <m/>
    <n v="1"/>
    <m/>
    <m/>
  </r>
  <r>
    <x v="11"/>
    <x v="15"/>
    <x v="15"/>
    <x v="15"/>
    <n v="27"/>
    <s v="Blancas - 5710"/>
    <s v="28"/>
    <m/>
    <x v="25"/>
    <x v="15"/>
    <m/>
    <n v="120"/>
    <m/>
    <n v="1"/>
    <m/>
    <m/>
  </r>
  <r>
    <x v="11"/>
    <x v="6"/>
    <x v="6"/>
    <x v="6"/>
    <s v="19,2"/>
    <s v="Blancas - 5710"/>
    <s v="19"/>
    <m/>
    <x v="17"/>
    <x v="19"/>
    <m/>
    <n v="160"/>
    <m/>
    <n v="1"/>
    <m/>
    <m/>
  </r>
  <r>
    <x v="11"/>
    <x v="26"/>
    <x v="25"/>
    <x v="25"/>
    <s v="17,6"/>
    <s v="Azules - 5924"/>
    <s v="19"/>
    <m/>
    <x v="15"/>
    <x v="3"/>
    <m/>
    <n v="170"/>
    <n v="50000"/>
    <n v="1"/>
    <m/>
    <m/>
  </r>
  <r>
    <x v="11"/>
    <x v="25"/>
    <x v="24"/>
    <x v="24"/>
    <s v="11,9"/>
    <s v="Azules - 5924"/>
    <s v="12"/>
    <m/>
    <x v="26"/>
    <x v="9"/>
    <m/>
    <n v="190"/>
    <n v="160000"/>
    <n v="1"/>
    <m/>
    <m/>
  </r>
  <r>
    <x v="11"/>
    <x v="2"/>
    <x v="2"/>
    <x v="2"/>
    <s v="11,4"/>
    <s v="Azules - 5924"/>
    <s v="12"/>
    <m/>
    <x v="3"/>
    <x v="2"/>
    <m/>
    <n v="140"/>
    <m/>
    <n v="1"/>
    <m/>
    <m/>
  </r>
  <r>
    <x v="11"/>
    <x v="19"/>
    <x v="10"/>
    <x v="19"/>
    <s v="10,2"/>
    <s v="Azules - 5924"/>
    <s v="10"/>
    <m/>
    <x v="27"/>
    <x v="19"/>
    <m/>
    <n v="160"/>
    <m/>
    <n v="1"/>
    <m/>
    <m/>
  </r>
  <r>
    <x v="11"/>
    <x v="7"/>
    <x v="7"/>
    <x v="7"/>
    <s v="9,9"/>
    <s v="Azules - 5924"/>
    <s v="10"/>
    <m/>
    <x v="37"/>
    <x v="26"/>
    <m/>
    <n v="200"/>
    <n v="200000"/>
    <n v="1"/>
    <m/>
    <m/>
  </r>
  <r>
    <x v="11"/>
    <x v="10"/>
    <x v="10"/>
    <x v="10"/>
    <s v="13"/>
    <s v="Azules - 5924"/>
    <s v="14"/>
    <m/>
    <x v="1"/>
    <x v="8"/>
    <m/>
    <n v="100"/>
    <m/>
    <n v="1"/>
    <m/>
    <m/>
  </r>
  <r>
    <x v="12"/>
    <x v="15"/>
    <x v="15"/>
    <x v="15"/>
    <n v="27"/>
    <s v="Blancas - 5710"/>
    <s v="28"/>
    <m/>
    <x v="21"/>
    <x v="7"/>
    <m/>
    <n v="110"/>
    <m/>
    <n v="1"/>
    <m/>
    <m/>
  </r>
  <r>
    <x v="12"/>
    <x v="0"/>
    <x v="0"/>
    <x v="0"/>
    <s v="17,8"/>
    <s v="Azules - 5924"/>
    <s v="19"/>
    <m/>
    <x v="11"/>
    <x v="4"/>
    <n v="1"/>
    <n v="200"/>
    <n v="160000"/>
    <n v="1"/>
    <m/>
    <n v="150000"/>
  </r>
  <r>
    <x v="12"/>
    <x v="4"/>
    <x v="4"/>
    <x v="4"/>
    <s v="11,3"/>
    <s v="Azules - 5924"/>
    <s v="11"/>
    <m/>
    <x v="27"/>
    <x v="4"/>
    <n v="1"/>
    <n v="200"/>
    <n v="160000"/>
    <n v="1"/>
    <m/>
    <m/>
  </r>
  <r>
    <x v="12"/>
    <x v="6"/>
    <x v="6"/>
    <x v="6"/>
    <s v="19,2"/>
    <s v="Blancas - 5710"/>
    <s v="19"/>
    <m/>
    <x v="6"/>
    <x v="5"/>
    <m/>
    <n v="190"/>
    <n v="90000"/>
    <n v="1"/>
    <m/>
    <m/>
  </r>
  <r>
    <x v="12"/>
    <x v="11"/>
    <x v="11"/>
    <x v="11"/>
    <s v="16,2"/>
    <s v="Blancas - 5710"/>
    <n v="16"/>
    <m/>
    <x v="29"/>
    <x v="12"/>
    <n v="1"/>
    <n v="150"/>
    <m/>
    <n v="1"/>
    <m/>
    <m/>
  </r>
  <r>
    <x v="12"/>
    <x v="16"/>
    <x v="16"/>
    <x v="16"/>
    <s v="18,7"/>
    <s v="Blancas - 5710"/>
    <s v="18"/>
    <m/>
    <x v="16"/>
    <x v="12"/>
    <m/>
    <n v="150"/>
    <m/>
    <n v="1"/>
    <m/>
    <m/>
  </r>
  <r>
    <x v="12"/>
    <x v="3"/>
    <x v="3"/>
    <x v="3"/>
    <s v="15,4"/>
    <s v="Blancas - 5710"/>
    <n v="15"/>
    <m/>
    <x v="29"/>
    <x v="10"/>
    <m/>
    <n v="140"/>
    <m/>
    <n v="1"/>
    <m/>
    <m/>
  </r>
  <r>
    <x v="12"/>
    <x v="9"/>
    <x v="9"/>
    <x v="9"/>
    <s v="9,8"/>
    <s v="Azules - 5924"/>
    <n v="10"/>
    <m/>
    <x v="8"/>
    <x v="2"/>
    <n v="1"/>
    <n v="180"/>
    <m/>
    <n v="1"/>
    <m/>
    <m/>
  </r>
  <r>
    <x v="12"/>
    <x v="24"/>
    <x v="23"/>
    <x v="23"/>
    <s v="8,3"/>
    <s v="Azules - 5924"/>
    <s v="8"/>
    <m/>
    <x v="15"/>
    <x v="8"/>
    <m/>
    <n v="120"/>
    <m/>
    <n v="1"/>
    <m/>
    <m/>
  </r>
  <r>
    <x v="12"/>
    <x v="19"/>
    <x v="10"/>
    <x v="19"/>
    <s v="10,2"/>
    <s v="Azules - 5924"/>
    <n v="10"/>
    <m/>
    <x v="23"/>
    <x v="4"/>
    <m/>
    <n v="200"/>
    <n v="160000"/>
    <n v="1"/>
    <m/>
    <m/>
  </r>
  <r>
    <x v="12"/>
    <x v="7"/>
    <x v="7"/>
    <x v="7"/>
    <s v="9,9"/>
    <s v="Azules - 5924"/>
    <s v="10"/>
    <m/>
    <x v="11"/>
    <x v="16"/>
    <m/>
    <n v="130"/>
    <m/>
    <n v="1"/>
    <m/>
    <m/>
  </r>
  <r>
    <x v="12"/>
    <x v="10"/>
    <x v="10"/>
    <x v="10"/>
    <s v="13"/>
    <s v="Azules - 5924"/>
    <s v="14"/>
    <m/>
    <x v="2"/>
    <x v="23"/>
    <m/>
    <n v="100"/>
    <m/>
    <n v="1"/>
    <m/>
    <m/>
  </r>
  <r>
    <x v="12"/>
    <x v="2"/>
    <x v="2"/>
    <x v="2"/>
    <s v="11,4"/>
    <s v="Azules - 5924"/>
    <n v="12"/>
    <m/>
    <x v="6"/>
    <x v="16"/>
    <m/>
    <n v="130"/>
    <m/>
    <n v="1"/>
    <m/>
    <m/>
  </r>
  <r>
    <x v="12"/>
    <x v="14"/>
    <x v="14"/>
    <x v="14"/>
    <s v="17,1"/>
    <s v="Azules - 5924"/>
    <s v="19"/>
    <m/>
    <x v="1"/>
    <x v="6"/>
    <m/>
    <n v="170"/>
    <m/>
    <n v="1"/>
    <m/>
    <m/>
  </r>
  <r>
    <x v="12"/>
    <x v="13"/>
    <x v="13"/>
    <x v="13"/>
    <s v="24,8"/>
    <s v="Blancas - 5710"/>
    <s v="25"/>
    <m/>
    <x v="38"/>
    <x v="27"/>
    <m/>
    <n v="90"/>
    <m/>
    <n v="1"/>
    <m/>
    <m/>
  </r>
  <r>
    <x v="12"/>
    <x v="52"/>
    <x v="50"/>
    <x v="48"/>
    <n v="8.1999999999999993"/>
    <s v="Azules - 5924"/>
    <n v="8"/>
    <m/>
    <x v="8"/>
    <x v="15"/>
    <m/>
    <n v="160"/>
    <m/>
    <n v="1"/>
    <m/>
    <m/>
  </r>
  <r>
    <x v="13"/>
    <x v="1"/>
    <x v="1"/>
    <x v="1"/>
    <n v="23.8"/>
    <s v="Blancas - 5710"/>
    <n v="24"/>
    <m/>
    <x v="13"/>
    <x v="10"/>
    <n v="1"/>
    <n v="140"/>
    <m/>
    <n v="1"/>
    <m/>
    <m/>
  </r>
  <r>
    <x v="13"/>
    <x v="0"/>
    <x v="0"/>
    <x v="0"/>
    <n v="17.600000000000001"/>
    <s v="Azules - 5924"/>
    <n v="19"/>
    <m/>
    <x v="2"/>
    <x v="16"/>
    <m/>
    <n v="130"/>
    <m/>
    <n v="1"/>
    <m/>
    <n v="120000"/>
  </r>
  <r>
    <x v="13"/>
    <x v="11"/>
    <x v="11"/>
    <x v="11"/>
    <n v="16.7"/>
    <s v="Blancas - 5710"/>
    <n v="16"/>
    <m/>
    <x v="3"/>
    <x v="4"/>
    <n v="1"/>
    <n v="170"/>
    <m/>
    <n v="1"/>
    <m/>
    <m/>
  </r>
  <r>
    <x v="13"/>
    <x v="16"/>
    <x v="16"/>
    <x v="16"/>
    <n v="18.399999999999999"/>
    <s v="Blancas - 5710"/>
    <n v="18"/>
    <m/>
    <x v="10"/>
    <x v="3"/>
    <m/>
    <n v="180"/>
    <n v="35000"/>
    <n v="1"/>
    <m/>
    <m/>
  </r>
  <r>
    <x v="13"/>
    <x v="28"/>
    <x v="27"/>
    <x v="27"/>
    <n v="14.7"/>
    <s v="Azules - 5924"/>
    <n v="16"/>
    <m/>
    <x v="15"/>
    <x v="5"/>
    <n v="1"/>
    <n v="160"/>
    <m/>
    <n v="1"/>
    <m/>
    <m/>
  </r>
  <r>
    <x v="13"/>
    <x v="20"/>
    <x v="19"/>
    <x v="20"/>
    <n v="21.5"/>
    <s v="Blancas - 5710"/>
    <n v="22"/>
    <m/>
    <x v="13"/>
    <x v="8"/>
    <m/>
    <n v="120"/>
    <m/>
    <n v="1"/>
    <m/>
    <m/>
  </r>
  <r>
    <x v="13"/>
    <x v="8"/>
    <x v="8"/>
    <x v="8"/>
    <n v="26.1"/>
    <s v="Blancas - 5710"/>
    <n v="27"/>
    <m/>
    <x v="28"/>
    <x v="3"/>
    <m/>
    <n v="180"/>
    <n v="35000"/>
    <n v="1"/>
    <m/>
    <m/>
  </r>
  <r>
    <x v="13"/>
    <x v="4"/>
    <x v="4"/>
    <x v="4"/>
    <n v="11.2"/>
    <s v="Azules - 5924"/>
    <n v="11"/>
    <m/>
    <x v="14"/>
    <x v="2"/>
    <m/>
    <n v="150"/>
    <m/>
    <n v="1"/>
    <m/>
    <m/>
  </r>
  <r>
    <x v="13"/>
    <x v="15"/>
    <x v="15"/>
    <x v="15"/>
    <n v="27.3"/>
    <s v="Blancas - 5710"/>
    <n v="28"/>
    <m/>
    <x v="28"/>
    <x v="1"/>
    <m/>
    <n v="190"/>
    <n v="90000"/>
    <n v="1"/>
    <m/>
    <m/>
  </r>
  <r>
    <x v="13"/>
    <x v="13"/>
    <x v="13"/>
    <x v="13"/>
    <n v="25.4"/>
    <s v="Blancas - 5710"/>
    <n v="26"/>
    <m/>
    <x v="21"/>
    <x v="14"/>
    <m/>
    <n v="110"/>
    <m/>
    <n v="1"/>
    <m/>
    <m/>
  </r>
  <r>
    <x v="13"/>
    <x v="31"/>
    <x v="30"/>
    <x v="30"/>
    <n v="22.5"/>
    <s v="Blancas - 5710"/>
    <n v="23"/>
    <m/>
    <x v="16"/>
    <x v="5"/>
    <m/>
    <n v="160"/>
    <m/>
    <n v="1"/>
    <m/>
    <m/>
  </r>
  <r>
    <x v="13"/>
    <x v="14"/>
    <x v="14"/>
    <x v="14"/>
    <n v="17.100000000000001"/>
    <s v="Azules - 5924"/>
    <n v="19"/>
    <m/>
    <x v="29"/>
    <x v="2"/>
    <n v="1"/>
    <n v="150"/>
    <m/>
    <n v="1"/>
    <m/>
    <m/>
  </r>
  <r>
    <x v="13"/>
    <x v="10"/>
    <x v="10"/>
    <x v="10"/>
    <n v="13"/>
    <s v="Azules - 5924"/>
    <n v="14"/>
    <m/>
    <x v="27"/>
    <x v="13"/>
    <m/>
    <n v="200"/>
    <n v="160000"/>
    <n v="1"/>
    <m/>
    <m/>
  </r>
  <r>
    <x v="13"/>
    <x v="44"/>
    <x v="43"/>
    <x v="41"/>
    <s v="19.8"/>
    <s v="Blancas - 5710"/>
    <n v="20"/>
    <m/>
    <x v="10"/>
    <x v="13"/>
    <m/>
    <n v="200"/>
    <n v="160000"/>
    <n v="1"/>
    <m/>
    <m/>
  </r>
  <r>
    <x v="14"/>
    <x v="16"/>
    <x v="16"/>
    <x v="16"/>
    <n v="18.399999999999999"/>
    <s v="Blancas - 5710"/>
    <n v="18"/>
    <m/>
    <x v="11"/>
    <x v="19"/>
    <m/>
    <n v="170"/>
    <m/>
    <n v="1"/>
    <m/>
    <m/>
  </r>
  <r>
    <x v="14"/>
    <x v="1"/>
    <x v="1"/>
    <x v="1"/>
    <n v="23.8"/>
    <s v="Blancas - 5710"/>
    <n v="24"/>
    <m/>
    <x v="25"/>
    <x v="8"/>
    <m/>
    <n v="120"/>
    <m/>
    <n v="1"/>
    <m/>
    <m/>
  </r>
  <r>
    <x v="14"/>
    <x v="6"/>
    <x v="6"/>
    <x v="6"/>
    <n v="19.2"/>
    <s v="Blancas - 5710"/>
    <n v="20"/>
    <m/>
    <x v="7"/>
    <x v="17"/>
    <m/>
    <n v="90"/>
    <m/>
    <n v="1"/>
    <m/>
    <m/>
  </r>
  <r>
    <x v="14"/>
    <x v="20"/>
    <x v="19"/>
    <x v="20"/>
    <n v="21.5"/>
    <s v="Blancas - 5710"/>
    <n v="21"/>
    <m/>
    <x v="16"/>
    <x v="2"/>
    <m/>
    <n v="150"/>
    <m/>
    <n v="1"/>
    <m/>
    <m/>
  </r>
  <r>
    <x v="14"/>
    <x v="8"/>
    <x v="8"/>
    <x v="8"/>
    <n v="26.1"/>
    <s v="Blancas - 5710"/>
    <n v="27"/>
    <m/>
    <x v="12"/>
    <x v="27"/>
    <m/>
    <n v="100"/>
    <m/>
    <n v="1"/>
    <m/>
    <m/>
  </r>
  <r>
    <x v="14"/>
    <x v="17"/>
    <x v="17"/>
    <x v="17"/>
    <n v="27.2"/>
    <s v="Blancas - 5710"/>
    <n v="28"/>
    <m/>
    <x v="9"/>
    <x v="12"/>
    <m/>
    <n v="130"/>
    <m/>
    <n v="1"/>
    <m/>
    <m/>
  </r>
  <r>
    <x v="14"/>
    <x v="13"/>
    <x v="13"/>
    <x v="13"/>
    <n v="25.4"/>
    <s v="Blancas - 5710"/>
    <n v="26"/>
    <m/>
    <x v="5"/>
    <x v="19"/>
    <n v="1"/>
    <n v="170"/>
    <n v="90000"/>
    <n v="1"/>
    <m/>
    <m/>
  </r>
  <r>
    <x v="14"/>
    <x v="15"/>
    <x v="15"/>
    <x v="15"/>
    <n v="27.3"/>
    <s v="Blancas - 5710"/>
    <n v="27"/>
    <m/>
    <x v="6"/>
    <x v="21"/>
    <m/>
    <n v="200"/>
    <n v="220000"/>
    <n v="1"/>
    <m/>
    <m/>
  </r>
  <r>
    <x v="14"/>
    <x v="14"/>
    <x v="14"/>
    <x v="14"/>
    <n v="17.100000000000001"/>
    <s v="Azules - 5924"/>
    <n v="17"/>
    <m/>
    <x v="6"/>
    <x v="2"/>
    <m/>
    <n v="150"/>
    <m/>
    <n v="1"/>
    <m/>
    <m/>
  </r>
  <r>
    <x v="14"/>
    <x v="0"/>
    <x v="0"/>
    <x v="0"/>
    <n v="17.600000000000001"/>
    <s v="Azules - 5924"/>
    <n v="17"/>
    <m/>
    <x v="8"/>
    <x v="13"/>
    <n v="1"/>
    <n v="190"/>
    <n v="150000"/>
    <n v="1"/>
    <m/>
    <n v="140000"/>
  </r>
  <r>
    <x v="14"/>
    <x v="29"/>
    <x v="28"/>
    <x v="28"/>
    <n v="17.899999999999999"/>
    <s v="Azules - 5924"/>
    <n v="18"/>
    <m/>
    <x v="6"/>
    <x v="11"/>
    <m/>
    <n v="160"/>
    <m/>
    <n v="1"/>
    <m/>
    <m/>
  </r>
  <r>
    <x v="14"/>
    <x v="26"/>
    <x v="25"/>
    <x v="25"/>
    <n v="17.600000000000001"/>
    <s v="Azules - 5924"/>
    <n v="17"/>
    <m/>
    <x v="22"/>
    <x v="23"/>
    <m/>
    <n v="110"/>
    <m/>
    <n v="1"/>
    <m/>
    <m/>
  </r>
  <r>
    <x v="14"/>
    <x v="9"/>
    <x v="9"/>
    <x v="9"/>
    <n v="9.8000000000000007"/>
    <s v="Blancas - 5710"/>
    <n v="9"/>
    <m/>
    <x v="8"/>
    <x v="6"/>
    <n v="1"/>
    <n v="140"/>
    <m/>
    <n v="1"/>
    <m/>
    <m/>
  </r>
  <r>
    <x v="14"/>
    <x v="28"/>
    <x v="27"/>
    <x v="27"/>
    <n v="14.7"/>
    <s v="Azules - 5924"/>
    <n v="16"/>
    <m/>
    <x v="10"/>
    <x v="19"/>
    <n v="2"/>
    <n v="170"/>
    <m/>
    <n v="1"/>
    <m/>
    <m/>
  </r>
  <r>
    <x v="14"/>
    <x v="7"/>
    <x v="7"/>
    <x v="7"/>
    <n v="9.9"/>
    <s v="Azules - 5924"/>
    <n v="12"/>
    <m/>
    <x v="18"/>
    <x v="4"/>
    <m/>
    <n v="180"/>
    <n v="120000"/>
    <n v="1"/>
    <m/>
    <m/>
  </r>
  <r>
    <x v="14"/>
    <x v="24"/>
    <x v="23"/>
    <x v="23"/>
    <n v="8.3000000000000007"/>
    <s v="Azules - 5924"/>
    <n v="8"/>
    <m/>
    <x v="32"/>
    <x v="19"/>
    <m/>
    <n v="170"/>
    <m/>
    <n v="1"/>
    <m/>
    <m/>
  </r>
  <r>
    <x v="15"/>
    <x v="0"/>
    <x v="0"/>
    <x v="0"/>
    <n v="16.8"/>
    <s v="Azules - 5924"/>
    <n v="16"/>
    <m/>
    <x v="17"/>
    <x v="2"/>
    <n v="1"/>
    <n v="160"/>
    <m/>
    <n v="1"/>
    <m/>
    <m/>
  </r>
  <r>
    <x v="15"/>
    <x v="16"/>
    <x v="16"/>
    <x v="16"/>
    <n v="18.899999999999999"/>
    <s v="Blancas - 5710"/>
    <n v="19"/>
    <m/>
    <x v="2"/>
    <x v="16"/>
    <m/>
    <n v="110"/>
    <m/>
    <n v="1"/>
    <m/>
    <m/>
  </r>
  <r>
    <x v="15"/>
    <x v="15"/>
    <x v="15"/>
    <x v="15"/>
    <n v="25.8"/>
    <s v="Blancas - 5710"/>
    <n v="26"/>
    <m/>
    <x v="2"/>
    <x v="5"/>
    <m/>
    <n v="170"/>
    <n v="45000"/>
    <n v="1"/>
    <m/>
    <m/>
  </r>
  <r>
    <x v="15"/>
    <x v="4"/>
    <x v="4"/>
    <x v="4"/>
    <n v="11.4"/>
    <s v="Azules - 5924"/>
    <n v="12"/>
    <m/>
    <x v="32"/>
    <x v="13"/>
    <n v="1"/>
    <n v="190"/>
    <n v="150000"/>
    <n v="1"/>
    <m/>
    <m/>
  </r>
  <r>
    <x v="15"/>
    <x v="11"/>
    <x v="11"/>
    <x v="11"/>
    <n v="16.399999999999999"/>
    <s v="Blancas - 5710"/>
    <n v="16"/>
    <m/>
    <x v="1"/>
    <x v="10"/>
    <n v="1"/>
    <n v="120"/>
    <m/>
    <n v="1"/>
    <m/>
    <m/>
  </r>
  <r>
    <x v="15"/>
    <x v="9"/>
    <x v="9"/>
    <x v="9"/>
    <n v="10.9"/>
    <s v="Blancas - 5710"/>
    <n v="10"/>
    <m/>
    <x v="18"/>
    <x v="5"/>
    <m/>
    <n v="170"/>
    <n v="45000"/>
    <n v="1"/>
    <m/>
    <m/>
  </r>
  <r>
    <x v="15"/>
    <x v="7"/>
    <x v="7"/>
    <x v="7"/>
    <n v="10.8"/>
    <s v="Azules - 5924"/>
    <n v="11"/>
    <m/>
    <x v="3"/>
    <x v="6"/>
    <m/>
    <n v="150"/>
    <m/>
    <n v="1"/>
    <m/>
    <m/>
  </r>
  <r>
    <x v="15"/>
    <x v="10"/>
    <x v="10"/>
    <x v="10"/>
    <n v="12.7"/>
    <s v="Azules - 5924"/>
    <n v="13"/>
    <m/>
    <x v="28"/>
    <x v="14"/>
    <n v="1"/>
    <n v="90"/>
    <m/>
    <n v="1"/>
    <m/>
    <n v="150000"/>
  </r>
  <r>
    <x v="15"/>
    <x v="6"/>
    <x v="6"/>
    <x v="6"/>
    <n v="19.8"/>
    <s v="Blancas - 5710"/>
    <n v="20"/>
    <m/>
    <x v="13"/>
    <x v="28"/>
    <m/>
    <n v="100"/>
    <m/>
    <n v="1"/>
    <m/>
    <m/>
  </r>
  <r>
    <x v="15"/>
    <x v="20"/>
    <x v="19"/>
    <x v="20"/>
    <n v="21.2"/>
    <s v="Blancas - 5710"/>
    <n v="21"/>
    <m/>
    <x v="2"/>
    <x v="12"/>
    <m/>
    <n v="130"/>
    <m/>
    <n v="1"/>
    <m/>
    <m/>
  </r>
  <r>
    <x v="15"/>
    <x v="1"/>
    <x v="1"/>
    <x v="1"/>
    <n v="24.2"/>
    <s v="Blancas - 5710"/>
    <n v="25"/>
    <m/>
    <x v="13"/>
    <x v="12"/>
    <m/>
    <n v="130"/>
    <m/>
    <n v="1"/>
    <m/>
    <m/>
  </r>
  <r>
    <x v="15"/>
    <x v="19"/>
    <x v="10"/>
    <x v="19"/>
    <n v="10.1"/>
    <s v="Azules - 5924"/>
    <n v="10"/>
    <m/>
    <x v="20"/>
    <x v="9"/>
    <m/>
    <n v="200"/>
    <n v="220000"/>
    <n v="1"/>
    <m/>
    <m/>
  </r>
  <r>
    <x v="15"/>
    <x v="3"/>
    <x v="3"/>
    <x v="3"/>
    <n v="15.2"/>
    <s v="Blancas - 5710"/>
    <n v="15"/>
    <m/>
    <x v="30"/>
    <x v="1"/>
    <m/>
    <n v="180"/>
    <n v="110000"/>
    <n v="1"/>
    <m/>
    <m/>
  </r>
  <r>
    <x v="15"/>
    <x v="17"/>
    <x v="17"/>
    <x v="17"/>
    <n v="28.1"/>
    <s v="Blancas - 5710"/>
    <n v="29"/>
    <m/>
    <x v="12"/>
    <x v="14"/>
    <m/>
    <n v="90"/>
    <m/>
    <n v="1"/>
    <m/>
    <m/>
  </r>
  <r>
    <x v="15"/>
    <x v="37"/>
    <x v="36"/>
    <x v="35"/>
    <n v="19.5"/>
    <s v="Blancas - 5710"/>
    <n v="19"/>
    <m/>
    <x v="25"/>
    <x v="27"/>
    <m/>
    <n v="80"/>
    <m/>
    <n v="1"/>
    <m/>
    <m/>
  </r>
  <r>
    <x v="15"/>
    <x v="44"/>
    <x v="43"/>
    <x v="41"/>
    <n v="19.8"/>
    <s v="Blancas - 5710"/>
    <n v="20"/>
    <m/>
    <x v="28"/>
    <x v="15"/>
    <m/>
    <n v="140"/>
    <m/>
    <n v="1"/>
    <m/>
    <m/>
  </r>
  <r>
    <x v="16"/>
    <x v="11"/>
    <x v="11"/>
    <x v="11"/>
    <n v="16.399999999999999"/>
    <s v="Blancas - 5710"/>
    <n v="16"/>
    <m/>
    <x v="10"/>
    <x v="19"/>
    <m/>
    <n v="190"/>
    <n v="110000"/>
    <n v="1"/>
    <m/>
    <m/>
  </r>
  <r>
    <x v="16"/>
    <x v="9"/>
    <x v="9"/>
    <x v="9"/>
    <n v="10.9"/>
    <s v="Blancas - 5710"/>
    <n v="10"/>
    <m/>
    <x v="27"/>
    <x v="19"/>
    <m/>
    <n v="190"/>
    <n v="110000"/>
    <n v="1"/>
    <m/>
    <m/>
  </r>
  <r>
    <x v="16"/>
    <x v="6"/>
    <x v="6"/>
    <x v="6"/>
    <n v="19.8"/>
    <s v="Blancas - 5710"/>
    <n v="20"/>
    <m/>
    <x v="28"/>
    <x v="15"/>
    <m/>
    <n v="160"/>
    <m/>
    <n v="1"/>
    <m/>
    <m/>
  </r>
  <r>
    <x v="16"/>
    <x v="0"/>
    <x v="0"/>
    <x v="0"/>
    <n v="16.8"/>
    <s v="Azules - 5924"/>
    <n v="16"/>
    <m/>
    <x v="6"/>
    <x v="6"/>
    <n v="1"/>
    <n v="170"/>
    <m/>
    <n v="1"/>
    <m/>
    <n v="150000"/>
  </r>
  <r>
    <x v="16"/>
    <x v="21"/>
    <x v="20"/>
    <x v="21"/>
    <n v="19.5"/>
    <s v="Blancas - 5710"/>
    <n v="19"/>
    <m/>
    <x v="29"/>
    <x v="2"/>
    <n v="1"/>
    <n v="170"/>
    <m/>
    <n v="1"/>
    <m/>
    <m/>
  </r>
  <r>
    <x v="16"/>
    <x v="4"/>
    <x v="4"/>
    <x v="4"/>
    <n v="11.4"/>
    <s v="Azules - 5924"/>
    <n v="12"/>
    <m/>
    <x v="17"/>
    <x v="10"/>
    <m/>
    <n v="150"/>
    <m/>
    <n v="1"/>
    <m/>
    <m/>
  </r>
  <r>
    <x v="16"/>
    <x v="14"/>
    <x v="14"/>
    <x v="14"/>
    <n v="17.100000000000001"/>
    <s v="Azules - 5924"/>
    <n v="17"/>
    <m/>
    <x v="8"/>
    <x v="13"/>
    <m/>
    <n v="200"/>
    <n v="220000"/>
    <n v="1"/>
    <m/>
    <m/>
  </r>
  <r>
    <x v="16"/>
    <x v="33"/>
    <x v="32"/>
    <x v="32"/>
    <n v="24.6"/>
    <s v="Blancas - 5710"/>
    <n v="25"/>
    <m/>
    <x v="22"/>
    <x v="15"/>
    <m/>
    <n v="160"/>
    <m/>
    <n v="1"/>
    <m/>
    <m/>
  </r>
  <r>
    <x v="16"/>
    <x v="8"/>
    <x v="8"/>
    <x v="8"/>
    <n v="26.1"/>
    <s v="Blancas - 5710"/>
    <n v="27"/>
    <m/>
    <x v="36"/>
    <x v="11"/>
    <m/>
    <n v="180"/>
    <m/>
    <n v="1"/>
    <m/>
    <m/>
  </r>
  <r>
    <x v="16"/>
    <x v="1"/>
    <x v="1"/>
    <x v="1"/>
    <n v="24.2"/>
    <s v="Blancas - 5710"/>
    <n v="25"/>
    <m/>
    <x v="2"/>
    <x v="11"/>
    <m/>
    <n v="180"/>
    <m/>
    <n v="1"/>
    <m/>
    <m/>
  </r>
  <r>
    <x v="16"/>
    <x v="7"/>
    <x v="7"/>
    <x v="7"/>
    <n v="10.8"/>
    <s v="Azules - 5924"/>
    <n v="11"/>
    <m/>
    <x v="6"/>
    <x v="8"/>
    <m/>
    <n v="140"/>
    <m/>
    <n v="1"/>
    <m/>
    <m/>
  </r>
  <r>
    <x v="16"/>
    <x v="29"/>
    <x v="28"/>
    <x v="49"/>
    <n v="17.899999999999999"/>
    <s v="Azules - 5924"/>
    <n v="18"/>
    <m/>
    <x v="11"/>
    <x v="19"/>
    <m/>
    <n v="190"/>
    <n v="110000"/>
    <n v="1"/>
    <m/>
    <m/>
  </r>
  <r>
    <x v="16"/>
    <x v="27"/>
    <x v="26"/>
    <x v="26"/>
    <n v="23.6"/>
    <s v="Blanca"/>
    <n v="24"/>
    <m/>
    <x v="36"/>
    <x v="15"/>
    <m/>
    <n v="160"/>
    <m/>
    <n v="1"/>
    <m/>
    <m/>
  </r>
  <r>
    <x v="16"/>
    <x v="20"/>
    <x v="19"/>
    <x v="20"/>
    <n v="21.2"/>
    <s v="Blancas - 5710"/>
    <n v="21"/>
    <m/>
    <x v="31"/>
    <x v="29"/>
    <m/>
    <n v="110"/>
    <m/>
    <n v="1"/>
    <m/>
    <m/>
  </r>
  <r>
    <x v="16"/>
    <x v="17"/>
    <x v="17"/>
    <x v="17"/>
    <n v="27.2"/>
    <s v="Blancas - 5710"/>
    <n v="28"/>
    <m/>
    <x v="38"/>
    <x v="28"/>
    <m/>
    <n v="130"/>
    <m/>
    <n v="1"/>
    <m/>
    <m/>
  </r>
  <r>
    <x v="16"/>
    <x v="15"/>
    <x v="15"/>
    <x v="15"/>
    <n v="25.8"/>
    <s v="Blancas - 5710"/>
    <n v="26"/>
    <m/>
    <x v="38"/>
    <x v="23"/>
    <m/>
    <n v="120"/>
    <m/>
    <n v="1"/>
    <m/>
    <m/>
  </r>
  <r>
    <x v="17"/>
    <x v="11"/>
    <x v="11"/>
    <x v="11"/>
    <n v="16.399999999999999"/>
    <s v="Blancas - 5710"/>
    <n v="16"/>
    <m/>
    <x v="14"/>
    <x v="3"/>
    <n v="1"/>
    <n v="190"/>
    <n v="100000"/>
    <n v="1"/>
    <m/>
    <m/>
  </r>
  <r>
    <x v="17"/>
    <x v="8"/>
    <x v="8"/>
    <x v="8"/>
    <n v="26.1"/>
    <s v="Blancas - 5710"/>
    <n v="27"/>
    <m/>
    <x v="5"/>
    <x v="4"/>
    <m/>
    <n v="180"/>
    <n v="30000"/>
    <n v="1"/>
    <m/>
    <m/>
  </r>
  <r>
    <x v="17"/>
    <x v="1"/>
    <x v="1"/>
    <x v="1"/>
    <n v="24.2"/>
    <s v="Blancas - 5710"/>
    <n v="25"/>
    <m/>
    <x v="4"/>
    <x v="13"/>
    <m/>
    <n v="200"/>
    <n v="130000"/>
    <n v="1"/>
    <m/>
    <m/>
  </r>
  <r>
    <x v="17"/>
    <x v="6"/>
    <x v="6"/>
    <x v="6"/>
    <n v="19.8"/>
    <s v="Blancas - 5710"/>
    <n v="20"/>
    <m/>
    <x v="1"/>
    <x v="2"/>
    <m/>
    <n v="170"/>
    <m/>
    <n v="1"/>
    <m/>
    <m/>
  </r>
  <r>
    <x v="17"/>
    <x v="14"/>
    <x v="14"/>
    <x v="14"/>
    <n v="17.100000000000001"/>
    <s v="Azules - 5924"/>
    <n v="16"/>
    <m/>
    <x v="29"/>
    <x v="12"/>
    <m/>
    <n v="160"/>
    <m/>
    <n v="1"/>
    <m/>
    <m/>
  </r>
  <r>
    <x v="17"/>
    <x v="7"/>
    <x v="7"/>
    <x v="7"/>
    <n v="10.8"/>
    <s v="Azules - 5924"/>
    <n v="11"/>
    <m/>
    <x v="15"/>
    <x v="12"/>
    <m/>
    <n v="160"/>
    <m/>
    <n v="1"/>
    <m/>
    <m/>
  </r>
  <r>
    <x v="17"/>
    <x v="4"/>
    <x v="4"/>
    <x v="4"/>
    <n v="11.4"/>
    <s v="Azules - 5924"/>
    <n v="11"/>
    <m/>
    <x v="27"/>
    <x v="4"/>
    <m/>
    <n v="180"/>
    <n v="30000"/>
    <n v="1"/>
    <m/>
    <m/>
  </r>
  <r>
    <x v="17"/>
    <x v="0"/>
    <x v="0"/>
    <x v="0"/>
    <n v="16.8"/>
    <s v="Azules - 5924"/>
    <n v="16"/>
    <m/>
    <x v="16"/>
    <x v="16"/>
    <n v="1"/>
    <n v="150"/>
    <m/>
    <n v="1"/>
    <m/>
    <n v="70000"/>
  </r>
  <r>
    <x v="18"/>
    <x v="0"/>
    <x v="0"/>
    <x v="0"/>
    <n v="16.8"/>
    <m/>
    <m/>
    <m/>
    <x v="0"/>
    <x v="0"/>
    <m/>
    <m/>
    <m/>
    <m/>
    <m/>
    <n v="110000"/>
  </r>
  <r>
    <x v="19"/>
    <x v="11"/>
    <x v="11"/>
    <x v="11"/>
    <m/>
    <m/>
    <m/>
    <m/>
    <x v="0"/>
    <x v="0"/>
    <m/>
    <m/>
    <m/>
    <m/>
    <m/>
    <m/>
  </r>
  <r>
    <x v="19"/>
    <x v="53"/>
    <x v="51"/>
    <x v="50"/>
    <m/>
    <m/>
    <m/>
    <m/>
    <x v="0"/>
    <x v="0"/>
    <m/>
    <m/>
    <m/>
    <m/>
    <m/>
    <m/>
  </r>
  <r>
    <x v="19"/>
    <x v="6"/>
    <x v="6"/>
    <x v="6"/>
    <m/>
    <m/>
    <m/>
    <m/>
    <x v="0"/>
    <x v="0"/>
    <m/>
    <m/>
    <m/>
    <m/>
    <m/>
    <m/>
  </r>
  <r>
    <x v="19"/>
    <x v="0"/>
    <x v="0"/>
    <x v="0"/>
    <m/>
    <m/>
    <m/>
    <m/>
    <x v="0"/>
    <x v="0"/>
    <m/>
    <m/>
    <m/>
    <m/>
    <m/>
    <m/>
  </r>
  <r>
    <x v="19"/>
    <x v="21"/>
    <x v="20"/>
    <x v="21"/>
    <m/>
    <m/>
    <m/>
    <m/>
    <x v="0"/>
    <x v="0"/>
    <m/>
    <m/>
    <m/>
    <m/>
    <m/>
    <m/>
  </r>
  <r>
    <x v="19"/>
    <x v="33"/>
    <x v="32"/>
    <x v="32"/>
    <m/>
    <m/>
    <m/>
    <m/>
    <x v="0"/>
    <x v="0"/>
    <m/>
    <m/>
    <m/>
    <m/>
    <m/>
    <m/>
  </r>
  <r>
    <x v="19"/>
    <x v="54"/>
    <x v="52"/>
    <x v="51"/>
    <m/>
    <m/>
    <m/>
    <m/>
    <x v="0"/>
    <x v="0"/>
    <m/>
    <m/>
    <m/>
    <m/>
    <m/>
    <m/>
  </r>
  <r>
    <x v="19"/>
    <x v="1"/>
    <x v="1"/>
    <x v="1"/>
    <m/>
    <m/>
    <m/>
    <m/>
    <x v="0"/>
    <x v="0"/>
    <m/>
    <m/>
    <m/>
    <m/>
    <m/>
    <m/>
  </r>
  <r>
    <x v="19"/>
    <x v="7"/>
    <x v="7"/>
    <x v="7"/>
    <m/>
    <m/>
    <m/>
    <m/>
    <x v="0"/>
    <x v="0"/>
    <m/>
    <m/>
    <m/>
    <m/>
    <m/>
    <m/>
  </r>
  <r>
    <x v="19"/>
    <x v="19"/>
    <x v="10"/>
    <x v="19"/>
    <m/>
    <m/>
    <m/>
    <m/>
    <x v="0"/>
    <x v="0"/>
    <m/>
    <m/>
    <m/>
    <m/>
    <m/>
    <m/>
  </r>
  <r>
    <x v="19"/>
    <x v="10"/>
    <x v="10"/>
    <x v="10"/>
    <m/>
    <m/>
    <m/>
    <m/>
    <x v="0"/>
    <x v="0"/>
    <m/>
    <m/>
    <m/>
    <m/>
    <m/>
    <m/>
  </r>
  <r>
    <x v="19"/>
    <x v="18"/>
    <x v="18"/>
    <x v="18"/>
    <m/>
    <m/>
    <m/>
    <m/>
    <x v="0"/>
    <x v="0"/>
    <m/>
    <m/>
    <m/>
    <m/>
    <m/>
    <m/>
  </r>
  <r>
    <x v="19"/>
    <x v="32"/>
    <x v="31"/>
    <x v="31"/>
    <m/>
    <m/>
    <m/>
    <m/>
    <x v="0"/>
    <x v="0"/>
    <m/>
    <m/>
    <m/>
    <m/>
    <m/>
    <m/>
  </r>
  <r>
    <x v="19"/>
    <x v="37"/>
    <x v="36"/>
    <x v="35"/>
    <m/>
    <m/>
    <m/>
    <m/>
    <x v="0"/>
    <x v="0"/>
    <m/>
    <m/>
    <m/>
    <m/>
    <m/>
    <m/>
  </r>
  <r>
    <x v="19"/>
    <x v="55"/>
    <x v="53"/>
    <x v="43"/>
    <m/>
    <m/>
    <m/>
    <m/>
    <x v="0"/>
    <x v="0"/>
    <m/>
    <m/>
    <m/>
    <m/>
    <m/>
    <m/>
  </r>
  <r>
    <x v="19"/>
    <x v="43"/>
    <x v="42"/>
    <x v="40"/>
    <m/>
    <m/>
    <m/>
    <m/>
    <x v="0"/>
    <x v="0"/>
    <m/>
    <m/>
    <m/>
    <m/>
    <m/>
    <m/>
  </r>
  <r>
    <x v="19"/>
    <x v="30"/>
    <x v="29"/>
    <x v="29"/>
    <m/>
    <m/>
    <m/>
    <m/>
    <x v="0"/>
    <x v="0"/>
    <m/>
    <m/>
    <m/>
    <m/>
    <m/>
    <m/>
  </r>
  <r>
    <x v="19"/>
    <x v="56"/>
    <x v="54"/>
    <x v="44"/>
    <m/>
    <m/>
    <m/>
    <m/>
    <x v="0"/>
    <x v="0"/>
    <m/>
    <m/>
    <m/>
    <m/>
    <m/>
    <m/>
  </r>
  <r>
    <x v="19"/>
    <x v="57"/>
    <x v="55"/>
    <x v="52"/>
    <m/>
    <m/>
    <m/>
    <m/>
    <x v="0"/>
    <x v="0"/>
    <m/>
    <m/>
    <m/>
    <m/>
    <m/>
    <m/>
  </r>
  <r>
    <x v="19"/>
    <x v="58"/>
    <x v="56"/>
    <x v="53"/>
    <m/>
    <m/>
    <m/>
    <m/>
    <x v="0"/>
    <x v="0"/>
    <m/>
    <m/>
    <m/>
    <m/>
    <m/>
    <m/>
  </r>
  <r>
    <x v="19"/>
    <x v="59"/>
    <x v="57"/>
    <x v="54"/>
    <m/>
    <m/>
    <m/>
    <m/>
    <x v="0"/>
    <x v="0"/>
    <m/>
    <m/>
    <m/>
    <m/>
    <m/>
    <m/>
  </r>
  <r>
    <x v="19"/>
    <x v="60"/>
    <x v="58"/>
    <x v="55"/>
    <m/>
    <m/>
    <m/>
    <m/>
    <x v="0"/>
    <x v="0"/>
    <m/>
    <m/>
    <m/>
    <m/>
    <m/>
    <m/>
  </r>
  <r>
    <x v="19"/>
    <x v="28"/>
    <x v="27"/>
    <x v="27"/>
    <m/>
    <m/>
    <m/>
    <m/>
    <x v="0"/>
    <x v="0"/>
    <m/>
    <m/>
    <m/>
    <m/>
    <m/>
    <m/>
  </r>
  <r>
    <x v="19"/>
    <x v="3"/>
    <x v="3"/>
    <x v="3"/>
    <m/>
    <m/>
    <m/>
    <m/>
    <x v="0"/>
    <x v="0"/>
    <m/>
    <m/>
    <m/>
    <m/>
    <m/>
    <m/>
  </r>
  <r>
    <x v="19"/>
    <x v="26"/>
    <x v="25"/>
    <x v="25"/>
    <m/>
    <m/>
    <m/>
    <m/>
    <x v="0"/>
    <x v="0"/>
    <m/>
    <m/>
    <m/>
    <m/>
    <m/>
    <m/>
  </r>
  <r>
    <x v="19"/>
    <x v="25"/>
    <x v="24"/>
    <x v="24"/>
    <m/>
    <m/>
    <m/>
    <m/>
    <x v="0"/>
    <x v="0"/>
    <m/>
    <m/>
    <m/>
    <m/>
    <m/>
    <m/>
  </r>
  <r>
    <x v="19"/>
    <x v="31"/>
    <x v="30"/>
    <x v="30"/>
    <m/>
    <m/>
    <m/>
    <m/>
    <x v="0"/>
    <x v="0"/>
    <m/>
    <m/>
    <m/>
    <m/>
    <m/>
    <m/>
  </r>
  <r>
    <x v="19"/>
    <x v="22"/>
    <x v="21"/>
    <x v="8"/>
    <m/>
    <m/>
    <m/>
    <m/>
    <x v="0"/>
    <x v="0"/>
    <m/>
    <m/>
    <m/>
    <m/>
    <m/>
    <m/>
  </r>
  <r>
    <x v="19"/>
    <x v="17"/>
    <x v="17"/>
    <x v="17"/>
    <m/>
    <m/>
    <m/>
    <m/>
    <x v="0"/>
    <x v="0"/>
    <m/>
    <m/>
    <m/>
    <m/>
    <m/>
    <m/>
  </r>
  <r>
    <x v="19"/>
    <x v="16"/>
    <x v="16"/>
    <x v="16"/>
    <m/>
    <m/>
    <m/>
    <m/>
    <x v="0"/>
    <x v="0"/>
    <m/>
    <m/>
    <m/>
    <m/>
    <m/>
    <m/>
  </r>
  <r>
    <x v="19"/>
    <x v="51"/>
    <x v="49"/>
    <x v="47"/>
    <m/>
    <m/>
    <m/>
    <m/>
    <x v="0"/>
    <x v="0"/>
    <m/>
    <m/>
    <m/>
    <m/>
    <m/>
    <m/>
  </r>
  <r>
    <x v="19"/>
    <x v="61"/>
    <x v="59"/>
    <x v="56"/>
    <m/>
    <m/>
    <m/>
    <m/>
    <x v="0"/>
    <x v="0"/>
    <m/>
    <m/>
    <m/>
    <m/>
    <m/>
    <m/>
  </r>
  <r>
    <x v="19"/>
    <x v="41"/>
    <x v="40"/>
    <x v="38"/>
    <m/>
    <m/>
    <m/>
    <m/>
    <x v="0"/>
    <x v="0"/>
    <m/>
    <m/>
    <m/>
    <m/>
    <m/>
    <m/>
  </r>
  <r>
    <x v="19"/>
    <x v="38"/>
    <x v="37"/>
    <x v="36"/>
    <m/>
    <m/>
    <m/>
    <m/>
    <x v="0"/>
    <x v="0"/>
    <m/>
    <m/>
    <m/>
    <m/>
    <m/>
    <m/>
  </r>
  <r>
    <x v="19"/>
    <x v="62"/>
    <x v="31"/>
    <x v="57"/>
    <m/>
    <m/>
    <m/>
    <m/>
    <x v="0"/>
    <x v="0"/>
    <m/>
    <m/>
    <m/>
    <m/>
    <m/>
    <m/>
  </r>
  <r>
    <x v="19"/>
    <x v="63"/>
    <x v="60"/>
    <x v="58"/>
    <m/>
    <m/>
    <m/>
    <m/>
    <x v="0"/>
    <x v="0"/>
    <m/>
    <m/>
    <m/>
    <m/>
    <m/>
    <m/>
  </r>
  <r>
    <x v="19"/>
    <x v="64"/>
    <x v="61"/>
    <x v="59"/>
    <m/>
    <m/>
    <m/>
    <m/>
    <x v="0"/>
    <x v="0"/>
    <m/>
    <m/>
    <m/>
    <m/>
    <m/>
    <m/>
  </r>
  <r>
    <x v="19"/>
    <x v="65"/>
    <x v="62"/>
    <x v="60"/>
    <m/>
    <m/>
    <m/>
    <m/>
    <x v="0"/>
    <x v="0"/>
    <m/>
    <m/>
    <m/>
    <m/>
    <m/>
    <m/>
  </r>
  <r>
    <x v="19"/>
    <x v="4"/>
    <x v="4"/>
    <x v="4"/>
    <m/>
    <m/>
    <m/>
    <m/>
    <x v="0"/>
    <x v="0"/>
    <m/>
    <m/>
    <m/>
    <m/>
    <m/>
    <m/>
  </r>
  <r>
    <x v="19"/>
    <x v="23"/>
    <x v="22"/>
    <x v="22"/>
    <m/>
    <m/>
    <m/>
    <m/>
    <x v="0"/>
    <x v="0"/>
    <m/>
    <m/>
    <m/>
    <m/>
    <m/>
    <m/>
  </r>
  <r>
    <x v="19"/>
    <x v="29"/>
    <x v="28"/>
    <x v="49"/>
    <m/>
    <m/>
    <m/>
    <m/>
    <x v="0"/>
    <x v="0"/>
    <m/>
    <m/>
    <m/>
    <m/>
    <m/>
    <m/>
  </r>
  <r>
    <x v="19"/>
    <x v="27"/>
    <x v="63"/>
    <x v="3"/>
    <m/>
    <m/>
    <m/>
    <m/>
    <x v="0"/>
    <x v="0"/>
    <m/>
    <m/>
    <m/>
    <m/>
    <m/>
    <m/>
  </r>
  <r>
    <x v="19"/>
    <x v="66"/>
    <x v="64"/>
    <x v="61"/>
    <m/>
    <m/>
    <m/>
    <m/>
    <x v="0"/>
    <x v="0"/>
    <m/>
    <m/>
    <m/>
    <m/>
    <m/>
    <m/>
  </r>
  <r>
    <x v="0"/>
    <x v="50"/>
    <x v="65"/>
    <x v="45"/>
    <m/>
    <m/>
    <m/>
    <m/>
    <x v="0"/>
    <x v="0"/>
    <m/>
    <m/>
    <m/>
    <m/>
    <m/>
    <m/>
  </r>
  <r>
    <x v="0"/>
    <x v="50"/>
    <x v="65"/>
    <x v="45"/>
    <m/>
    <m/>
    <m/>
    <m/>
    <x v="0"/>
    <x v="0"/>
    <m/>
    <m/>
    <m/>
    <m/>
    <m/>
    <m/>
  </r>
  <r>
    <x v="0"/>
    <x v="50"/>
    <x v="65"/>
    <x v="45"/>
    <m/>
    <m/>
    <m/>
    <m/>
    <x v="0"/>
    <x v="0"/>
    <m/>
    <m/>
    <m/>
    <m/>
    <m/>
    <m/>
  </r>
  <r>
    <x v="0"/>
    <x v="50"/>
    <x v="65"/>
    <x v="45"/>
    <m/>
    <m/>
    <m/>
    <m/>
    <x v="0"/>
    <x v="0"/>
    <m/>
    <m/>
    <m/>
    <m/>
    <m/>
    <m/>
  </r>
  <r>
    <x v="0"/>
    <x v="50"/>
    <x v="65"/>
    <x v="45"/>
    <m/>
    <m/>
    <m/>
    <m/>
    <x v="0"/>
    <x v="0"/>
    <m/>
    <m/>
    <m/>
    <m/>
    <m/>
    <m/>
  </r>
  <r>
    <x v="0"/>
    <x v="50"/>
    <x v="66"/>
    <x v="45"/>
    <m/>
    <m/>
    <m/>
    <m/>
    <x v="0"/>
    <x v="0"/>
    <m/>
    <m/>
    <m/>
    <m/>
    <m/>
    <m/>
  </r>
  <r>
    <x v="0"/>
    <x v="50"/>
    <x v="67"/>
    <x v="45"/>
    <m/>
    <m/>
    <m/>
    <m/>
    <x v="0"/>
    <x v="0"/>
    <m/>
    <m/>
    <m/>
    <m/>
    <m/>
    <m/>
  </r>
  <r>
    <x v="0"/>
    <x v="50"/>
    <x v="65"/>
    <x v="45"/>
    <m/>
    <m/>
    <m/>
    <m/>
    <x v="0"/>
    <x v="0"/>
    <m/>
    <m/>
    <m/>
    <m/>
    <m/>
    <m/>
  </r>
  <r>
    <x v="0"/>
    <x v="50"/>
    <x v="65"/>
    <x v="45"/>
    <m/>
    <m/>
    <m/>
    <m/>
    <x v="0"/>
    <x v="0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C55EF9-D169-744D-BA87-43CF22113A08}" name="TablaDiná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A3:D8" firstHeaderRow="1" firstDataRow="1" firstDataCol="3" rowPageCount="1" colPageCount="1"/>
  <pivotFields count="16">
    <pivotField compact="0" outline="0" multipleItemSelectionAllowed="1" showAll="0" defaultSubtotal="0"/>
    <pivotField axis="axisRow" compact="0" outline="0" showAll="0" defaultSubtotal="0">
      <items count="67">
        <item x="16"/>
        <item x="5"/>
        <item x="28"/>
        <item x="0"/>
        <item x="14"/>
        <item x="2"/>
        <item x="9"/>
        <item x="47"/>
        <item x="11"/>
        <item x="20"/>
        <item x="8"/>
        <item x="15"/>
        <item x="24"/>
        <item x="17"/>
        <item x="1"/>
        <item x="4"/>
        <item x="6"/>
        <item x="26"/>
        <item x="21"/>
        <item x="29"/>
        <item x="27"/>
        <item x="10"/>
        <item x="25"/>
        <item x="31"/>
        <item x="23"/>
        <item x="36"/>
        <item x="22"/>
        <item x="3"/>
        <item x="18"/>
        <item x="13"/>
        <item x="32"/>
        <item x="39"/>
        <item x="33"/>
        <item x="35"/>
        <item x="37"/>
        <item x="43"/>
        <item x="38"/>
        <item x="30"/>
        <item x="51"/>
        <item x="41"/>
        <item x="50"/>
        <item x="7"/>
        <item x="12"/>
        <item x="19"/>
        <item x="34"/>
        <item x="40"/>
        <item x="42"/>
        <item x="44"/>
        <item x="45"/>
        <item x="46"/>
        <item x="48"/>
        <item x="49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</items>
    </pivotField>
    <pivotField axis="axisRow" compact="0" outline="0" showAll="0" defaultSubtotal="0">
      <items count="68">
        <item x="9"/>
        <item x="0"/>
        <item x="11"/>
        <item x="45"/>
        <item x="4"/>
        <item x="6"/>
        <item x="23"/>
        <item x="19"/>
        <item x="16"/>
        <item x="27"/>
        <item x="5"/>
        <item x="14"/>
        <item x="17"/>
        <item x="15"/>
        <item x="25"/>
        <item x="2"/>
        <item x="1"/>
        <item x="8"/>
        <item x="20"/>
        <item x="26"/>
        <item x="10"/>
        <item x="24"/>
        <item x="30"/>
        <item x="22"/>
        <item x="35"/>
        <item x="21"/>
        <item x="3"/>
        <item x="18"/>
        <item x="13"/>
        <item x="31"/>
        <item x="38"/>
        <item x="32"/>
        <item x="34"/>
        <item x="36"/>
        <item x="42"/>
        <item x="37"/>
        <item x="29"/>
        <item x="49"/>
        <item x="40"/>
        <item x="7"/>
        <item x="12"/>
        <item x="28"/>
        <item x="33"/>
        <item x="39"/>
        <item x="41"/>
        <item x="43"/>
        <item x="44"/>
        <item x="46"/>
        <item x="47"/>
        <item x="48"/>
        <item x="65"/>
        <item x="50"/>
        <item x="66"/>
        <item x="67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</items>
    </pivotField>
    <pivotField axis="axisRow" compact="0" outline="0" showAll="0" defaultSubtotal="0">
      <items count="62">
        <item x="20"/>
        <item x="23"/>
        <item x="9"/>
        <item x="21"/>
        <item x="6"/>
        <item x="1"/>
        <item x="4"/>
        <item x="5"/>
        <item x="17"/>
        <item x="43"/>
        <item x="14"/>
        <item x="0"/>
        <item x="25"/>
        <item x="8"/>
        <item x="2"/>
        <item x="11"/>
        <item x="27"/>
        <item x="16"/>
        <item x="15"/>
        <item x="26"/>
        <item x="10"/>
        <item x="24"/>
        <item x="30"/>
        <item x="22"/>
        <item x="34"/>
        <item x="3"/>
        <item x="18"/>
        <item x="13"/>
        <item x="19"/>
        <item x="31"/>
        <item x="32"/>
        <item x="35"/>
        <item x="40"/>
        <item x="36"/>
        <item x="29"/>
        <item x="38"/>
        <item x="37"/>
        <item x="7"/>
        <item x="12"/>
        <item x="28"/>
        <item x="33"/>
        <item x="39"/>
        <item x="41"/>
        <item x="42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sortType="descending" defaultSubtotal="0"/>
    <pivotField axis="axisPage" dataField="1" compact="0" outline="0" multipleItemSelectionAllowed="1" showAll="0" defaultSubtotal="0">
      <items count="20">
        <item m="1" x="14"/>
        <item m="1" x="15"/>
        <item h="1" x="0"/>
        <item m="1" x="16"/>
        <item m="1" x="17"/>
        <item m="1" x="11"/>
        <item m="1" x="18"/>
        <item m="1" x="19"/>
        <item m="1" x="12"/>
        <item x="2"/>
        <item m="1" x="13"/>
        <item x="3"/>
        <item x="4"/>
        <item x="1"/>
        <item x="5"/>
        <item x="6"/>
        <item x="7"/>
        <item x="8"/>
        <item x="9"/>
        <item x="10"/>
      </items>
    </pivotField>
  </pivotFields>
  <rowFields count="3">
    <field x="1"/>
    <field x="2"/>
    <field x="3"/>
  </rowFields>
  <rowItems count="5">
    <i>
      <x v="3"/>
      <x v="1"/>
      <x v="11"/>
    </i>
    <i>
      <x v="4"/>
      <x v="11"/>
      <x v="10"/>
    </i>
    <i>
      <x v="6"/>
      <x/>
      <x v="2"/>
    </i>
    <i>
      <x v="21"/>
      <x v="20"/>
      <x v="20"/>
    </i>
    <i t="grand">
      <x/>
    </i>
  </rowItems>
  <colItems count="1">
    <i/>
  </colItems>
  <pageFields count="1">
    <pageField fld="15" hier="-1"/>
  </pageFields>
  <dataFields count="1">
    <dataField name="Suma de Recaudo" fld="15" baseField="0" baseItem="0" numFmtId="170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7242E5-7C44-5A41-8761-6E1096A7BE9B}" name="TablaDinámica8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 fieldListSortAscending="1">
  <location ref="Z3:AD20" firstHeaderRow="0" firstDataRow="1" firstDataCol="3" rowPageCount="1" colPageCount="1"/>
  <pivotFields count="16">
    <pivotField axis="axisPage" compact="0" outline="0" multipleItemSelectionAllowed="1" showAll="0" defaultSubtotal="0">
      <items count="20">
        <item h="1" x="1"/>
        <item h="1" x="2"/>
        <item h="1" x="3"/>
        <item h="1" x="4"/>
        <item h="1" x="5"/>
        <item h="1" x="0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x="16"/>
        <item x="17"/>
        <item h="1" x="18"/>
        <item h="1" x="19"/>
      </items>
    </pivotField>
    <pivotField axis="axisRow" compact="0" outline="0" showAll="0" sortType="descending" defaultSubtotal="0">
      <items count="67">
        <item x="45"/>
        <item x="44"/>
        <item x="39"/>
        <item x="42"/>
        <item x="29"/>
        <item x="3"/>
        <item x="16"/>
        <item x="5"/>
        <item x="18"/>
        <item x="12"/>
        <item x="41"/>
        <item x="7"/>
        <item x="19"/>
        <item x="28"/>
        <item x="30"/>
        <item x="37"/>
        <item x="0"/>
        <item x="14"/>
        <item x="2"/>
        <item x="22"/>
        <item x="51"/>
        <item x="46"/>
        <item x="13"/>
        <item x="43"/>
        <item x="9"/>
        <item x="23"/>
        <item x="47"/>
        <item x="27"/>
        <item x="11"/>
        <item x="20"/>
        <item x="38"/>
        <item x="8"/>
        <item x="15"/>
        <item x="24"/>
        <item x="17"/>
        <item x="25"/>
        <item x="10"/>
        <item x="1"/>
        <item x="34"/>
        <item x="4"/>
        <item x="32"/>
        <item x="6"/>
        <item x="26"/>
        <item x="35"/>
        <item x="21"/>
        <item x="31"/>
        <item x="33"/>
        <item x="52"/>
        <item x="36"/>
        <item x="40"/>
        <item x="48"/>
        <item x="49"/>
        <item x="50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defaultSubtotal="0">
      <items count="68">
        <item x="9"/>
        <item x="0"/>
        <item x="11"/>
        <item x="45"/>
        <item x="4"/>
        <item x="6"/>
        <item x="23"/>
        <item x="19"/>
        <item x="16"/>
        <item x="27"/>
        <item x="5"/>
        <item x="14"/>
        <item x="17"/>
        <item x="15"/>
        <item x="25"/>
        <item x="2"/>
        <item x="1"/>
        <item x="8"/>
        <item x="20"/>
        <item x="26"/>
        <item x="10"/>
        <item x="24"/>
        <item x="30"/>
        <item x="22"/>
        <item x="35"/>
        <item x="21"/>
        <item x="3"/>
        <item x="18"/>
        <item x="13"/>
        <item x="31"/>
        <item x="38"/>
        <item x="32"/>
        <item x="34"/>
        <item x="36"/>
        <item x="42"/>
        <item x="37"/>
        <item x="29"/>
        <item x="49"/>
        <item x="40"/>
        <item x="7"/>
        <item x="12"/>
        <item x="28"/>
        <item x="33"/>
        <item x="39"/>
        <item x="41"/>
        <item x="43"/>
        <item x="44"/>
        <item x="46"/>
        <item x="47"/>
        <item x="48"/>
        <item x="65"/>
        <item x="50"/>
        <item x="66"/>
        <item x="67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</items>
    </pivotField>
    <pivotField axis="axisRow" compact="0" outline="0" showAll="0" sortType="descending" defaultSubtotal="0">
      <items count="62">
        <item x="28"/>
        <item x="20"/>
        <item x="34"/>
        <item x="23"/>
        <item x="47"/>
        <item x="9"/>
        <item x="38"/>
        <item x="10"/>
        <item x="21"/>
        <item x="6"/>
        <item x="1"/>
        <item x="4"/>
        <item x="37"/>
        <item x="31"/>
        <item x="36"/>
        <item x="46"/>
        <item x="5"/>
        <item x="26"/>
        <item x="17"/>
        <item x="43"/>
        <item x="14"/>
        <item x="0"/>
        <item x="25"/>
        <item x="8"/>
        <item x="2"/>
        <item x="22"/>
        <item x="18"/>
        <item x="44"/>
        <item x="3"/>
        <item x="33"/>
        <item x="32"/>
        <item x="42"/>
        <item x="39"/>
        <item x="29"/>
        <item x="11"/>
        <item x="40"/>
        <item x="19"/>
        <item x="27"/>
        <item x="13"/>
        <item x="7"/>
        <item x="35"/>
        <item x="16"/>
        <item x="15"/>
        <item x="41"/>
        <item x="30"/>
        <item x="24"/>
        <item x="12"/>
        <item x="45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dataField="1" compact="0" outline="0" subtotalTop="0" showAll="0" defaultSubtotal="0"/>
    <pivotField compact="0" outline="0" subtotalTop="0" showAll="0" defaultSubtotal="0"/>
    <pivotField compact="0" outline="0" multipleItemSelectionAllowed="1" showAll="0" defaultSubtotal="0"/>
  </pivotFields>
  <rowFields count="3">
    <field x="1"/>
    <field x="2"/>
    <field x="3"/>
  </rowFields>
  <rowItems count="17">
    <i>
      <x v="37"/>
      <x v="16"/>
      <x v="10"/>
    </i>
    <i>
      <x v="28"/>
      <x v="2"/>
      <x v="34"/>
    </i>
    <i>
      <x v="31"/>
      <x v="17"/>
      <x v="23"/>
    </i>
    <i>
      <x v="17"/>
      <x v="11"/>
      <x v="20"/>
    </i>
    <i>
      <x v="39"/>
      <x v="4"/>
      <x v="11"/>
    </i>
    <i>
      <x v="41"/>
      <x v="5"/>
      <x v="9"/>
    </i>
    <i>
      <x v="16"/>
      <x v="1"/>
      <x v="21"/>
    </i>
    <i>
      <x v="11"/>
      <x v="39"/>
      <x v="39"/>
    </i>
    <i>
      <x v="24"/>
      <x/>
      <x v="5"/>
    </i>
    <i>
      <x v="4"/>
      <x v="41"/>
      <x v="49"/>
    </i>
    <i>
      <x v="44"/>
      <x v="18"/>
      <x v="8"/>
    </i>
    <i>
      <x v="46"/>
      <x v="31"/>
      <x v="30"/>
    </i>
    <i>
      <x v="27"/>
      <x v="19"/>
      <x v="17"/>
    </i>
    <i>
      <x v="34"/>
      <x v="12"/>
      <x v="18"/>
    </i>
    <i>
      <x v="32"/>
      <x v="13"/>
      <x v="42"/>
    </i>
    <i>
      <x v="29"/>
      <x v="7"/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Suma de Puntos" fld="11" baseField="3" baseItem="43"/>
    <dataField name="Suma de Asistencia" fld="13" baseField="3" baseItem="17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7FBB07-BAC9-4DFF-B578-77E4F504A78A}" name="TablaDinámica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M4:P28" firstHeaderRow="1" firstDataRow="1" firstDataCol="3" rowPageCount="2" colPageCount="1"/>
  <pivotFields count="16">
    <pivotField axis="axisPage" compact="0" outline="0" multipleItemSelectionAllowed="1" showAll="0" defaultSubtota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axis="axisRow" compact="0" outline="0" showAll="0" sortType="descending" defaultSubtotal="0">
      <items count="67">
        <item x="16"/>
        <item x="5"/>
        <item x="28"/>
        <item x="0"/>
        <item x="14"/>
        <item x="2"/>
        <item x="9"/>
        <item x="47"/>
        <item x="11"/>
        <item x="20"/>
        <item x="8"/>
        <item x="15"/>
        <item x="24"/>
        <item x="17"/>
        <item x="1"/>
        <item x="4"/>
        <item x="6"/>
        <item x="26"/>
        <item x="21"/>
        <item x="29"/>
        <item x="27"/>
        <item x="10"/>
        <item x="25"/>
        <item x="31"/>
        <item x="23"/>
        <item x="36"/>
        <item x="22"/>
        <item x="3"/>
        <item x="18"/>
        <item x="13"/>
        <item x="32"/>
        <item x="39"/>
        <item x="33"/>
        <item x="35"/>
        <item x="37"/>
        <item x="43"/>
        <item x="38"/>
        <item x="30"/>
        <item x="51"/>
        <item x="41"/>
        <item x="50"/>
        <item x="7"/>
        <item x="12"/>
        <item x="19"/>
        <item x="34"/>
        <item x="40"/>
        <item x="42"/>
        <item x="44"/>
        <item x="45"/>
        <item x="46"/>
        <item x="48"/>
        <item x="49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defaultSubtotal="0">
      <items count="68">
        <item x="9"/>
        <item x="0"/>
        <item x="11"/>
        <item x="45"/>
        <item x="4"/>
        <item x="6"/>
        <item x="23"/>
        <item x="19"/>
        <item x="16"/>
        <item x="27"/>
        <item x="5"/>
        <item x="14"/>
        <item x="17"/>
        <item x="15"/>
        <item x="25"/>
        <item x="2"/>
        <item x="1"/>
        <item x="8"/>
        <item x="20"/>
        <item x="26"/>
        <item x="10"/>
        <item x="24"/>
        <item x="30"/>
        <item x="22"/>
        <item x="35"/>
        <item x="21"/>
        <item x="3"/>
        <item x="18"/>
        <item x="13"/>
        <item x="31"/>
        <item x="38"/>
        <item x="32"/>
        <item x="34"/>
        <item x="36"/>
        <item x="42"/>
        <item x="37"/>
        <item x="29"/>
        <item x="49"/>
        <item x="40"/>
        <item x="7"/>
        <item x="12"/>
        <item x="28"/>
        <item x="33"/>
        <item x="39"/>
        <item x="41"/>
        <item x="43"/>
        <item x="44"/>
        <item x="46"/>
        <item x="47"/>
        <item x="48"/>
        <item x="65"/>
        <item x="50"/>
        <item x="66"/>
        <item x="67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</items>
    </pivotField>
    <pivotField axis="axisRow" compact="0" outline="0" showAll="0" sortType="ascending" defaultSubtotal="0">
      <items count="62">
        <item x="20"/>
        <item x="23"/>
        <item x="9"/>
        <item x="21"/>
        <item x="6"/>
        <item x="1"/>
        <item x="4"/>
        <item x="5"/>
        <item x="17"/>
        <item x="43"/>
        <item x="14"/>
        <item x="0"/>
        <item x="25"/>
        <item x="8"/>
        <item x="2"/>
        <item x="11"/>
        <item x="27"/>
        <item x="16"/>
        <item x="15"/>
        <item x="26"/>
        <item x="10"/>
        <item x="24"/>
        <item x="30"/>
        <item x="22"/>
        <item x="34"/>
        <item x="3"/>
        <item x="18"/>
        <item x="13"/>
        <item x="19"/>
        <item x="31"/>
        <item x="32"/>
        <item x="35"/>
        <item x="40"/>
        <item x="36"/>
        <item x="29"/>
        <item x="38"/>
        <item x="37"/>
        <item x="7"/>
        <item x="12"/>
        <item x="28"/>
        <item x="33"/>
        <item x="39"/>
        <item x="41"/>
        <item x="42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axis="axisPage" dataField="1" compact="0" outline="0" multipleItemSelectionAllowed="1" showAll="0" defaultSubtotal="0">
      <items count="7">
        <item x="5"/>
        <item h="1" x="2"/>
        <item x="4"/>
        <item x="3"/>
        <item x="0"/>
        <item x="1"/>
        <item x="6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multipleItemSelectionAllowed="1" showAll="0" defaultSubtotal="0"/>
  </pivotFields>
  <rowFields count="3">
    <field x="1"/>
    <field x="2"/>
    <field x="3"/>
  </rowFields>
  <rowItems count="24">
    <i>
      <x v="3"/>
      <x v="1"/>
      <x v="11"/>
    </i>
    <i>
      <x v="2"/>
      <x v="9"/>
      <x v="16"/>
    </i>
    <i>
      <x v="8"/>
      <x v="2"/>
      <x v="15"/>
    </i>
    <i>
      <x v="15"/>
      <x v="4"/>
      <x v="6"/>
    </i>
    <i>
      <x v="14"/>
      <x v="16"/>
      <x v="5"/>
    </i>
    <i>
      <x v="4"/>
      <x v="11"/>
      <x v="10"/>
    </i>
    <i>
      <x v="29"/>
      <x v="28"/>
      <x v="27"/>
    </i>
    <i>
      <x v="21"/>
      <x v="20"/>
      <x v="20"/>
    </i>
    <i>
      <x v="1"/>
      <x v="10"/>
      <x v="7"/>
    </i>
    <i>
      <x v="6"/>
      <x/>
      <x v="2"/>
    </i>
    <i>
      <x v="27"/>
      <x v="26"/>
      <x v="25"/>
    </i>
    <i>
      <x v="22"/>
      <x v="21"/>
      <x v="21"/>
    </i>
    <i>
      <x v="24"/>
      <x v="23"/>
      <x v="23"/>
    </i>
    <i>
      <x v="17"/>
      <x v="14"/>
      <x v="12"/>
    </i>
    <i>
      <x v="11"/>
      <x v="13"/>
      <x v="18"/>
    </i>
    <i>
      <x v="28"/>
      <x v="27"/>
      <x v="26"/>
    </i>
    <i>
      <x v="12"/>
      <x v="6"/>
      <x v="1"/>
    </i>
    <i>
      <x v="18"/>
      <x v="18"/>
      <x v="3"/>
    </i>
    <i>
      <x v="35"/>
      <x v="34"/>
      <x v="32"/>
    </i>
    <i>
      <x v="7"/>
      <x v="3"/>
      <x v="9"/>
    </i>
    <i>
      <x v="44"/>
      <x v="42"/>
      <x v="40"/>
    </i>
    <i>
      <x v="5"/>
      <x v="15"/>
      <x v="14"/>
    </i>
    <i>
      <x v="30"/>
      <x v="29"/>
      <x v="29"/>
    </i>
    <i t="grand">
      <x/>
    </i>
  </rowItems>
  <colItems count="1">
    <i/>
  </colItems>
  <pageFields count="2">
    <pageField fld="0" hier="-1"/>
    <pageField fld="10" hier="-1"/>
  </pageFields>
  <dataFields count="1">
    <dataField name="Tee Time_" fld="10" baseField="0" baseItem="0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AE9167-F122-0C48-A680-2E66060A2199}" name="TablaDinámica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T3:X56" firstHeaderRow="0" firstDataRow="1" firstDataCol="3" rowPageCount="1" colPageCount="1"/>
  <pivotFields count="16">
    <pivotField axis="axisPage" compact="0" outline="0" multipleItemSelectionAllowed="1" showAll="0" defaultSubtotal="0">
      <items count="20">
        <item x="1"/>
        <item x="2"/>
        <item x="3"/>
        <item x="4"/>
        <item x="5"/>
        <item x="0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axis="axisRow" compact="0" outline="0" showAll="0" sortType="descending" defaultSubtotal="0">
      <items count="67">
        <item x="16"/>
        <item x="5"/>
        <item x="28"/>
        <item x="0"/>
        <item x="14"/>
        <item x="2"/>
        <item x="9"/>
        <item x="47"/>
        <item x="11"/>
        <item x="20"/>
        <item x="8"/>
        <item x="15"/>
        <item x="24"/>
        <item x="17"/>
        <item x="1"/>
        <item x="4"/>
        <item x="6"/>
        <item x="26"/>
        <item x="21"/>
        <item x="29"/>
        <item x="27"/>
        <item x="10"/>
        <item x="25"/>
        <item x="31"/>
        <item x="23"/>
        <item x="36"/>
        <item x="22"/>
        <item x="3"/>
        <item x="18"/>
        <item x="13"/>
        <item x="32"/>
        <item x="39"/>
        <item x="33"/>
        <item x="35"/>
        <item x="37"/>
        <item x="43"/>
        <item x="38"/>
        <item x="30"/>
        <item x="51"/>
        <item x="41"/>
        <item h="1" x="50"/>
        <item x="7"/>
        <item x="12"/>
        <item x="19"/>
        <item x="34"/>
        <item x="40"/>
        <item x="42"/>
        <item x="44"/>
        <item x="45"/>
        <item x="46"/>
        <item x="48"/>
        <item x="49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defaultSubtotal="0">
      <items count="68">
        <item x="9"/>
        <item x="0"/>
        <item x="11"/>
        <item x="45"/>
        <item x="4"/>
        <item x="6"/>
        <item x="23"/>
        <item x="19"/>
        <item x="16"/>
        <item x="27"/>
        <item x="5"/>
        <item x="14"/>
        <item x="17"/>
        <item x="15"/>
        <item x="25"/>
        <item x="2"/>
        <item x="1"/>
        <item x="8"/>
        <item x="20"/>
        <item x="26"/>
        <item x="10"/>
        <item x="24"/>
        <item x="30"/>
        <item x="22"/>
        <item x="35"/>
        <item x="21"/>
        <item x="3"/>
        <item x="18"/>
        <item x="13"/>
        <item x="31"/>
        <item x="38"/>
        <item x="32"/>
        <item x="34"/>
        <item x="36"/>
        <item x="42"/>
        <item x="37"/>
        <item x="29"/>
        <item x="49"/>
        <item x="40"/>
        <item x="7"/>
        <item x="12"/>
        <item x="28"/>
        <item x="33"/>
        <item x="39"/>
        <item x="41"/>
        <item x="43"/>
        <item x="44"/>
        <item x="46"/>
        <item x="47"/>
        <item x="48"/>
        <item h="1" sd="0" x="65"/>
        <item h="1" x="50"/>
        <item h="1" x="66"/>
        <item h="1" x="67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</items>
    </pivotField>
    <pivotField axis="axisRow" compact="0" outline="0" showAll="0" sortType="ascending" defaultSubtotal="0">
      <items count="62">
        <item x="20"/>
        <item x="23"/>
        <item x="9"/>
        <item x="21"/>
        <item x="6"/>
        <item x="1"/>
        <item x="4"/>
        <item x="5"/>
        <item x="17"/>
        <item x="43"/>
        <item x="14"/>
        <item x="0"/>
        <item x="25"/>
        <item x="8"/>
        <item x="2"/>
        <item x="11"/>
        <item x="27"/>
        <item x="16"/>
        <item x="15"/>
        <item x="26"/>
        <item x="10"/>
        <item x="24"/>
        <item x="30"/>
        <item x="22"/>
        <item x="34"/>
        <item x="3"/>
        <item x="18"/>
        <item x="13"/>
        <item x="19"/>
        <item x="31"/>
        <item x="32"/>
        <item x="35"/>
        <item x="40"/>
        <item x="36"/>
        <item x="29"/>
        <item x="38"/>
        <item x="37"/>
        <item x="7"/>
        <item x="12"/>
        <item x="28"/>
        <item x="33"/>
        <item x="39"/>
        <item x="41"/>
        <item x="42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dataField="1" compact="0" outline="0" subtotalTop="0" showAll="0" defaultSubtotal="0"/>
    <pivotField compact="0" outline="0" subtotalTop="0" showAll="0" defaultSubtotal="0"/>
    <pivotField compact="0" outline="0" multipleItemSelectionAllowed="1" showAll="0" defaultSubtotal="0"/>
  </pivotFields>
  <rowFields count="3">
    <field x="1"/>
    <field x="2"/>
    <field x="3"/>
  </rowFields>
  <rowItems count="53">
    <i>
      <x v="15"/>
      <x v="4"/>
      <x v="6"/>
    </i>
    <i>
      <x v="3"/>
      <x v="1"/>
      <x v="11"/>
    </i>
    <i>
      <x v="8"/>
      <x v="2"/>
      <x v="15"/>
    </i>
    <i>
      <x v="14"/>
      <x v="16"/>
      <x v="5"/>
    </i>
    <i>
      <x v="16"/>
      <x v="5"/>
      <x v="4"/>
    </i>
    <i>
      <x v="6"/>
      <x/>
      <x v="2"/>
    </i>
    <i>
      <x v="41"/>
      <x v="39"/>
      <x v="37"/>
    </i>
    <i>
      <x v="11"/>
      <x v="13"/>
      <x v="18"/>
    </i>
    <i>
      <x/>
      <x v="8"/>
      <x v="17"/>
    </i>
    <i>
      <x v="4"/>
      <x v="11"/>
      <x v="10"/>
    </i>
    <i>
      <x v="10"/>
      <x v="17"/>
      <x v="13"/>
    </i>
    <i>
      <x v="21"/>
      <x v="20"/>
      <x v="20"/>
    </i>
    <i>
      <x v="27"/>
      <x v="26"/>
      <x v="25"/>
    </i>
    <i>
      <x v="5"/>
      <x v="15"/>
      <x v="14"/>
    </i>
    <i>
      <x v="9"/>
      <x v="7"/>
      <x/>
    </i>
    <i>
      <x v="43"/>
      <x v="20"/>
      <x v="28"/>
    </i>
    <i>
      <x v="29"/>
      <x v="28"/>
      <x v="27"/>
    </i>
    <i>
      <x v="13"/>
      <x v="12"/>
      <x v="8"/>
    </i>
    <i>
      <x v="12"/>
      <x v="6"/>
      <x v="1"/>
    </i>
    <i>
      <x v="28"/>
      <x v="27"/>
      <x v="26"/>
    </i>
    <i>
      <x v="18"/>
      <x v="18"/>
      <x v="3"/>
    </i>
    <i>
      <x v="26"/>
      <x v="25"/>
      <x v="13"/>
    </i>
    <i>
      <x v="1"/>
      <x v="10"/>
      <x v="7"/>
    </i>
    <i>
      <x v="22"/>
      <x v="21"/>
      <x v="21"/>
    </i>
    <i>
      <x v="19"/>
      <x v="41"/>
      <x v="49"/>
    </i>
    <i r="2">
      <x v="39"/>
    </i>
    <i>
      <x v="17"/>
      <x v="14"/>
      <x v="12"/>
    </i>
    <i>
      <x v="2"/>
      <x v="9"/>
      <x v="16"/>
    </i>
    <i>
      <x v="20"/>
      <x v="19"/>
      <x v="19"/>
    </i>
    <i>
      <x v="42"/>
      <x v="40"/>
      <x v="38"/>
    </i>
    <i>
      <x v="24"/>
      <x v="23"/>
      <x v="23"/>
    </i>
    <i>
      <x v="47"/>
      <x v="45"/>
      <x v="42"/>
    </i>
    <i>
      <x v="23"/>
      <x v="22"/>
      <x v="22"/>
    </i>
    <i>
      <x v="32"/>
      <x v="31"/>
      <x v="30"/>
    </i>
    <i>
      <x v="37"/>
      <x v="36"/>
      <x v="34"/>
    </i>
    <i>
      <x v="30"/>
      <x v="29"/>
      <x v="29"/>
    </i>
    <i>
      <x v="34"/>
      <x v="33"/>
      <x v="31"/>
    </i>
    <i>
      <x v="35"/>
      <x v="34"/>
      <x v="32"/>
    </i>
    <i>
      <x v="44"/>
      <x v="42"/>
      <x v="40"/>
    </i>
    <i>
      <x v="33"/>
      <x v="32"/>
      <x v="16"/>
    </i>
    <i>
      <x v="25"/>
      <x v="24"/>
      <x v="24"/>
    </i>
    <i>
      <x v="38"/>
      <x v="37"/>
      <x v="47"/>
    </i>
    <i>
      <x v="31"/>
      <x v="30"/>
      <x v="2"/>
    </i>
    <i>
      <x v="36"/>
      <x v="35"/>
      <x v="33"/>
    </i>
    <i>
      <x v="45"/>
      <x v="43"/>
      <x v="36"/>
    </i>
    <i>
      <x v="39"/>
      <x v="38"/>
      <x v="35"/>
    </i>
    <i>
      <x v="46"/>
      <x v="44"/>
      <x v="41"/>
    </i>
    <i>
      <x v="48"/>
      <x v="46"/>
      <x v="43"/>
    </i>
    <i>
      <x v="49"/>
      <x v="30"/>
      <x v="30"/>
    </i>
    <i>
      <x v="7"/>
      <x v="3"/>
      <x v="9"/>
    </i>
    <i>
      <x v="50"/>
      <x v="47"/>
      <x v="44"/>
    </i>
    <i>
      <x v="51"/>
      <x v="48"/>
      <x v="45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Suma de Puntos" fld="11" baseField="3" baseItem="6"/>
    <dataField name="Asist" fld="13" baseField="3" baseItem="13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E9A89C-D75E-F44F-B4E6-A3F141FAA6EB}" name="TablaDinámica10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F43:I48" firstHeaderRow="1" firstDataRow="1" firstDataCol="3" rowPageCount="2" colPageCount="1"/>
  <pivotFields count="16">
    <pivotField axis="axisPage" compact="0" outline="0" multipleItemSelectionAllowed="1" showAll="0" defaultSubtotal="0">
      <items count="20">
        <item h="1" x="1"/>
        <item h="1" x="2"/>
        <item h="1" x="3"/>
        <item h="1" x="4"/>
        <item h="1" x="5"/>
        <item h="1" x="0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x="17"/>
        <item h="1" x="18"/>
        <item h="1" x="19"/>
      </items>
    </pivotField>
    <pivotField axis="axisRow" compact="0" outline="0" showAll="0" sortType="descending" defaultSubtotal="0">
      <items count="67">
        <item x="16"/>
        <item x="5"/>
        <item x="28"/>
        <item x="0"/>
        <item x="14"/>
        <item x="2"/>
        <item x="9"/>
        <item x="47"/>
        <item x="11"/>
        <item x="20"/>
        <item x="8"/>
        <item x="15"/>
        <item x="24"/>
        <item x="17"/>
        <item x="1"/>
        <item x="4"/>
        <item x="6"/>
        <item x="26"/>
        <item x="21"/>
        <item x="29"/>
        <item x="27"/>
        <item x="10"/>
        <item x="25"/>
        <item x="31"/>
        <item x="23"/>
        <item x="36"/>
        <item x="22"/>
        <item x="3"/>
        <item x="18"/>
        <item x="13"/>
        <item x="32"/>
        <item x="39"/>
        <item x="33"/>
        <item x="35"/>
        <item x="37"/>
        <item x="43"/>
        <item x="38"/>
        <item x="30"/>
        <item x="51"/>
        <item x="41"/>
        <item x="50"/>
        <item x="7"/>
        <item x="12"/>
        <item x="19"/>
        <item x="34"/>
        <item x="40"/>
        <item x="42"/>
        <item x="44"/>
        <item x="45"/>
        <item x="46"/>
        <item x="48"/>
        <item x="49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defaultSubtotal="0">
      <items count="68">
        <item x="9"/>
        <item x="0"/>
        <item x="11"/>
        <item x="45"/>
        <item x="4"/>
        <item x="6"/>
        <item x="23"/>
        <item x="19"/>
        <item x="16"/>
        <item x="27"/>
        <item x="5"/>
        <item x="14"/>
        <item x="17"/>
        <item x="15"/>
        <item x="25"/>
        <item x="2"/>
        <item x="1"/>
        <item x="8"/>
        <item x="20"/>
        <item x="26"/>
        <item x="10"/>
        <item x="24"/>
        <item x="30"/>
        <item x="22"/>
        <item x="35"/>
        <item x="21"/>
        <item x="3"/>
        <item x="18"/>
        <item x="13"/>
        <item x="31"/>
        <item x="38"/>
        <item x="32"/>
        <item x="34"/>
        <item x="36"/>
        <item x="42"/>
        <item x="37"/>
        <item x="29"/>
        <item x="49"/>
        <item x="40"/>
        <item x="7"/>
        <item x="12"/>
        <item x="28"/>
        <item x="33"/>
        <item x="39"/>
        <item x="41"/>
        <item x="43"/>
        <item x="44"/>
        <item x="46"/>
        <item x="47"/>
        <item x="48"/>
        <item x="65"/>
        <item x="50"/>
        <item x="66"/>
        <item x="67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</items>
    </pivotField>
    <pivotField axis="axisRow" compact="0" outline="0" showAll="0" sortType="ascending" defaultSubtotal="0">
      <items count="62">
        <item x="28"/>
        <item x="20"/>
        <item x="48"/>
        <item x="34"/>
        <item x="23"/>
        <item x="47"/>
        <item x="9"/>
        <item x="38"/>
        <item x="10"/>
        <item x="21"/>
        <item x="6"/>
        <item x="1"/>
        <item x="4"/>
        <item x="37"/>
        <item x="31"/>
        <item x="36"/>
        <item x="46"/>
        <item x="5"/>
        <item x="26"/>
        <item x="17"/>
        <item x="43"/>
        <item x="14"/>
        <item x="0"/>
        <item x="25"/>
        <item x="8"/>
        <item x="2"/>
        <item x="22"/>
        <item x="18"/>
        <item x="44"/>
        <item x="3"/>
        <item x="33"/>
        <item x="32"/>
        <item x="42"/>
        <item x="39"/>
        <item x="29"/>
        <item x="11"/>
        <item x="40"/>
        <item x="19"/>
        <item x="27"/>
        <item x="13"/>
        <item x="7"/>
        <item x="35"/>
        <item x="16"/>
        <item x="15"/>
        <item x="41"/>
        <item x="30"/>
        <item x="24"/>
        <item x="12"/>
        <item x="45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outline="0" multipleItemSelectionAllowed="1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dataField="1" compact="0" outline="0" multipleItemSelectionAllowed="1" showAll="0" defaultSubtotal="0">
      <items count="51">
        <item m="1" x="39"/>
        <item m="1" x="43"/>
        <item x="26"/>
        <item x="35"/>
        <item x="31"/>
        <item x="23"/>
        <item m="1" x="45"/>
        <item m="1" x="40"/>
        <item x="14"/>
        <item x="27"/>
        <item x="36"/>
        <item x="12"/>
        <item m="1" x="42"/>
        <item x="29"/>
        <item x="15"/>
        <item m="1" x="48"/>
        <item m="1" x="47"/>
        <item x="25"/>
        <item x="30"/>
        <item x="11"/>
        <item x="24"/>
        <item m="1" x="41"/>
        <item x="28"/>
        <item m="1" x="50"/>
        <item x="34"/>
        <item x="10"/>
        <item m="1" x="49"/>
        <item m="1" x="44"/>
        <item x="32"/>
        <item m="1" x="46"/>
        <item x="4"/>
        <item x="3"/>
        <item x="1"/>
        <item x="21"/>
        <item x="7"/>
        <item x="5"/>
        <item x="22"/>
        <item x="20"/>
        <item x="2"/>
        <item x="17"/>
        <item x="16"/>
        <item x="19"/>
        <item x="13"/>
        <item x="8"/>
        <item x="18"/>
        <item x="9"/>
        <item x="0"/>
        <item h="1" x="6"/>
        <item x="33"/>
        <item x="37"/>
        <item x="38"/>
      </items>
    </pivotField>
    <pivotField compact="0" outline="0" subtotalTop="0" showAll="0" defaultSubtotal="0"/>
    <pivotField compact="0" outline="0" subtotalTop="0" showAll="0" defaultSubtotal="0"/>
    <pivotField compact="0" outline="0" multipleItemSelectionAllowed="1" showAll="0" defaultSubtotal="0"/>
  </pivotFields>
  <rowFields count="3">
    <field x="1"/>
    <field x="2"/>
    <field x="3"/>
  </rowFields>
  <rowItems count="5">
    <i>
      <x v="14"/>
      <x v="16"/>
      <x v="11"/>
    </i>
    <i>
      <x v="8"/>
      <x v="2"/>
      <x v="35"/>
    </i>
    <i>
      <x v="15"/>
      <x v="4"/>
      <x v="12"/>
    </i>
    <i>
      <x v="10"/>
      <x v="17"/>
      <x v="24"/>
    </i>
    <i t="grand">
      <x/>
    </i>
  </rowItems>
  <colItems count="1">
    <i/>
  </colItems>
  <pageFields count="2">
    <pageField fld="0" hier="-1"/>
    <pageField fld="12" hier="-1"/>
  </pageFields>
  <dataFields count="1">
    <dataField name="Valor" fld="12" baseField="3" baseItem="5" numFmtId="169"/>
  </dataFields>
  <formats count="1">
    <format dxfId="0">
      <pivotArea outline="0" collapsedLevelsAreSubtotals="1" fieldPosition="0"/>
    </format>
  </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15E109-C8FF-4A3C-988A-C817A3585888}" name="TablaDinámica2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F3:K12" firstHeaderRow="1" firstDataRow="1" firstDataCol="5" rowPageCount="1" colPageCount="1"/>
  <pivotFields count="16">
    <pivotField axis="axisPage" compact="0" outline="0" multipleItemSelectionAllowed="1" showAll="0" defaultSubtotal="0">
      <items count="20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x="17"/>
        <item h="1" x="18"/>
        <item h="1" x="19"/>
      </items>
    </pivotField>
    <pivotField axis="axisRow" compact="0" outline="0" showAll="0" sortType="descending" defaultSubtotal="0">
      <items count="67">
        <item x="16"/>
        <item x="5"/>
        <item x="28"/>
        <item x="0"/>
        <item x="14"/>
        <item x="2"/>
        <item x="9"/>
        <item x="47"/>
        <item x="11"/>
        <item x="20"/>
        <item x="8"/>
        <item x="15"/>
        <item x="24"/>
        <item x="17"/>
        <item x="1"/>
        <item x="4"/>
        <item x="6"/>
        <item x="26"/>
        <item x="21"/>
        <item x="29"/>
        <item x="27"/>
        <item x="10"/>
        <item x="25"/>
        <item x="31"/>
        <item x="23"/>
        <item x="36"/>
        <item x="22"/>
        <item x="3"/>
        <item x="18"/>
        <item x="13"/>
        <item x="32"/>
        <item x="39"/>
        <item x="33"/>
        <item x="35"/>
        <item x="37"/>
        <item x="43"/>
        <item x="38"/>
        <item x="30"/>
        <item x="51"/>
        <item x="41"/>
        <item x="50"/>
        <item x="7"/>
        <item x="12"/>
        <item x="19"/>
        <item x="34"/>
        <item x="40"/>
        <item x="42"/>
        <item x="44"/>
        <item x="45"/>
        <item x="46"/>
        <item x="48"/>
        <item x="49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defaultSubtotal="0">
      <items count="68">
        <item x="9"/>
        <item x="0"/>
        <item x="11"/>
        <item x="45"/>
        <item x="4"/>
        <item x="6"/>
        <item x="23"/>
        <item x="19"/>
        <item x="16"/>
        <item x="27"/>
        <item x="5"/>
        <item x="14"/>
        <item x="17"/>
        <item x="15"/>
        <item x="25"/>
        <item x="2"/>
        <item x="1"/>
        <item x="8"/>
        <item x="20"/>
        <item x="26"/>
        <item x="10"/>
        <item x="24"/>
        <item x="30"/>
        <item x="22"/>
        <item x="35"/>
        <item x="21"/>
        <item x="3"/>
        <item x="18"/>
        <item x="13"/>
        <item x="31"/>
        <item x="38"/>
        <item x="32"/>
        <item x="34"/>
        <item x="36"/>
        <item x="42"/>
        <item x="37"/>
        <item x="29"/>
        <item x="49"/>
        <item x="40"/>
        <item x="7"/>
        <item x="12"/>
        <item x="28"/>
        <item x="33"/>
        <item x="39"/>
        <item x="41"/>
        <item x="43"/>
        <item x="44"/>
        <item x="46"/>
        <item x="47"/>
        <item x="48"/>
        <item x="65"/>
        <item x="50"/>
        <item x="66"/>
        <item x="67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</items>
    </pivotField>
    <pivotField axis="axisRow" compact="0" outline="0" showAll="0" defaultSubtotal="0">
      <items count="62">
        <item x="20"/>
        <item x="23"/>
        <item x="9"/>
        <item x="21"/>
        <item x="6"/>
        <item x="1"/>
        <item x="4"/>
        <item x="5"/>
        <item x="17"/>
        <item x="43"/>
        <item x="14"/>
        <item x="0"/>
        <item x="25"/>
        <item x="8"/>
        <item x="2"/>
        <item x="11"/>
        <item x="27"/>
        <item x="16"/>
        <item x="15"/>
        <item x="26"/>
        <item x="10"/>
        <item x="24"/>
        <item x="30"/>
        <item x="22"/>
        <item x="34"/>
        <item x="3"/>
        <item x="18"/>
        <item x="13"/>
        <item x="19"/>
        <item x="31"/>
        <item x="32"/>
        <item x="35"/>
        <item x="40"/>
        <item x="36"/>
        <item x="29"/>
        <item x="38"/>
        <item x="37"/>
        <item x="7"/>
        <item x="12"/>
        <item x="28"/>
        <item x="33"/>
        <item x="39"/>
        <item x="41"/>
        <item x="42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axis="axisRow" compact="0" outline="0" showAll="0" defaultSubtotal="0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</pivotField>
    <pivotField axis="axisRow" compact="0" outline="0" showAll="0" sortType="descending" defaultSubtotal="0">
      <items count="30">
        <item x="0"/>
        <item x="29"/>
        <item x="22"/>
        <item x="25"/>
        <item x="18"/>
        <item x="17"/>
        <item x="24"/>
        <item x="27"/>
        <item x="23"/>
        <item x="14"/>
        <item x="28"/>
        <item x="7"/>
        <item x="8"/>
        <item x="16"/>
        <item x="10"/>
        <item x="12"/>
        <item x="15"/>
        <item x="6"/>
        <item x="2"/>
        <item x="11"/>
        <item x="5"/>
        <item x="19"/>
        <item x="4"/>
        <item x="3"/>
        <item x="1"/>
        <item x="13"/>
        <item x="9"/>
        <item x="20"/>
        <item x="21"/>
        <item x="26"/>
      </items>
    </pivotField>
    <pivotField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multipleItemSelectionAllowed="1" showAll="0" defaultSubtotal="0"/>
  </pivotFields>
  <rowFields count="5">
    <field x="1"/>
    <field x="2"/>
    <field x="3"/>
    <field x="8"/>
    <field x="9"/>
  </rowFields>
  <rowItems count="9">
    <i>
      <x v="14"/>
      <x v="16"/>
      <x v="5"/>
      <x v="4"/>
      <x v="25"/>
    </i>
    <i>
      <x v="8"/>
      <x v="2"/>
      <x v="15"/>
      <x v="14"/>
      <x v="23"/>
    </i>
    <i>
      <x v="15"/>
      <x v="4"/>
      <x v="6"/>
      <x v="27"/>
      <x v="22"/>
    </i>
    <i>
      <x v="10"/>
      <x v="17"/>
      <x v="13"/>
      <x v="5"/>
      <x v="22"/>
    </i>
    <i>
      <x v="16"/>
      <x v="5"/>
      <x v="4"/>
      <x v="1"/>
      <x v="18"/>
    </i>
    <i>
      <x v="41"/>
      <x v="39"/>
      <x v="37"/>
      <x v="15"/>
      <x v="15"/>
    </i>
    <i>
      <x v="4"/>
      <x v="11"/>
      <x v="10"/>
      <x v="29"/>
      <x v="15"/>
    </i>
    <i>
      <x v="3"/>
      <x v="1"/>
      <x v="11"/>
      <x v="16"/>
      <x v="13"/>
    </i>
    <i t="grand">
      <x/>
    </i>
  </rowItems>
  <colItems count="1">
    <i/>
  </colItems>
  <pageFields count="1">
    <pageField fld="0" hier="-1"/>
  </pageFields>
  <dataFields count="1">
    <dataField name="puntos Jornada" fld="11" baseField="9" baseItem="17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D656D-4390-464F-B74E-2229E244074A}" name="TablaDiná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M35:Q36" firstHeaderRow="1" firstDataRow="1" firstDataCol="5" rowPageCount="1" colPageCount="1"/>
  <pivotFields count="16">
    <pivotField axis="axisPage" compact="0" outline="0" showAll="0" defaultSubtotal="0">
      <items count="20">
        <item x="1"/>
        <item x="2"/>
        <item x="3"/>
        <item x="4"/>
        <item x="5"/>
        <item x="0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axis="axisRow" compact="0" outline="0" showAll="0" defaultSubtotal="0">
      <items count="67">
        <item x="16"/>
        <item x="5"/>
        <item x="28"/>
        <item x="0"/>
        <item x="14"/>
        <item x="2"/>
        <item x="9"/>
        <item x="47"/>
        <item x="11"/>
        <item x="20"/>
        <item x="8"/>
        <item x="15"/>
        <item x="24"/>
        <item x="17"/>
        <item x="1"/>
        <item x="4"/>
        <item x="6"/>
        <item x="26"/>
        <item x="21"/>
        <item x="29"/>
        <item x="27"/>
        <item x="10"/>
        <item x="25"/>
        <item x="31"/>
        <item x="23"/>
        <item x="36"/>
        <item x="22"/>
        <item x="3"/>
        <item x="18"/>
        <item x="13"/>
        <item x="32"/>
        <item x="39"/>
        <item x="33"/>
        <item x="35"/>
        <item x="37"/>
        <item x="43"/>
        <item x="38"/>
        <item x="30"/>
        <item x="51"/>
        <item x="41"/>
        <item x="50"/>
        <item x="7"/>
        <item x="12"/>
        <item x="19"/>
        <item x="34"/>
        <item x="40"/>
        <item x="42"/>
        <item x="44"/>
        <item x="45"/>
        <item x="46"/>
        <item x="48"/>
        <item x="49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</items>
    </pivotField>
    <pivotField axis="axisRow" compact="0" outline="0" showAll="0" defaultSubtotal="0">
      <items count="68">
        <item x="9"/>
        <item x="0"/>
        <item x="11"/>
        <item x="45"/>
        <item x="4"/>
        <item x="6"/>
        <item x="23"/>
        <item x="19"/>
        <item x="16"/>
        <item x="27"/>
        <item x="5"/>
        <item x="14"/>
        <item x="17"/>
        <item x="15"/>
        <item x="25"/>
        <item x="2"/>
        <item x="1"/>
        <item x="8"/>
        <item x="20"/>
        <item x="26"/>
        <item x="10"/>
        <item x="24"/>
        <item x="30"/>
        <item x="22"/>
        <item x="35"/>
        <item x="21"/>
        <item x="3"/>
        <item x="18"/>
        <item x="13"/>
        <item x="31"/>
        <item x="38"/>
        <item x="32"/>
        <item x="34"/>
        <item x="36"/>
        <item x="42"/>
        <item x="37"/>
        <item x="29"/>
        <item x="49"/>
        <item x="40"/>
        <item x="7"/>
        <item x="12"/>
        <item x="28"/>
        <item x="33"/>
        <item x="39"/>
        <item x="41"/>
        <item x="43"/>
        <item x="44"/>
        <item x="46"/>
        <item x="47"/>
        <item x="48"/>
        <item x="65"/>
        <item x="50"/>
        <item x="66"/>
        <item x="67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</items>
    </pivotField>
    <pivotField axis="axisRow" compact="0" outline="0" showAll="0" defaultSubtotal="0">
      <items count="62">
        <item x="20"/>
        <item x="23"/>
        <item x="9"/>
        <item x="21"/>
        <item x="6"/>
        <item x="1"/>
        <item x="4"/>
        <item x="5"/>
        <item x="17"/>
        <item x="14"/>
        <item x="0"/>
        <item x="25"/>
        <item x="8"/>
        <item x="2"/>
        <item x="11"/>
        <item x="27"/>
        <item x="16"/>
        <item x="15"/>
        <item x="26"/>
        <item x="10"/>
        <item x="24"/>
        <item x="30"/>
        <item x="22"/>
        <item x="34"/>
        <item x="3"/>
        <item x="18"/>
        <item x="13"/>
        <item x="19"/>
        <item x="31"/>
        <item x="32"/>
        <item x="43"/>
        <item x="35"/>
        <item x="40"/>
        <item x="36"/>
        <item x="29"/>
        <item x="38"/>
        <item x="37"/>
        <item x="7"/>
        <item x="12"/>
        <item x="28"/>
        <item x="33"/>
        <item x="39"/>
        <item x="41"/>
        <item x="42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</items>
    </pivotField>
    <pivotField compact="0" outline="0" showAll="0" defaultSubtotal="0"/>
    <pivotField compact="0" outline="0" showAll="0" defaultSubtotal="0"/>
    <pivotField compact="0" outline="0" showAll="0" defaultSubtotal="0"/>
    <pivotField name="Torneo" axis="axisRow" compact="0" outline="0" subtotalTop="0" showAll="0" defaultSubtotal="0">
      <items count="5">
        <item m="1" x="1"/>
        <item h="1" m="1" x="3"/>
        <item h="1" m="1" x="2"/>
        <item h="1" m="1" x="4"/>
        <item h="1"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axis="axisRow" compact="0" outline="0" subtotalTop="0" showAll="0" defaultSubtotal="0">
      <items count="4">
        <item x="0"/>
        <item h="1" m="1" x="1"/>
        <item h="1" m="1" x="2"/>
        <item h="1" m="1" x="3"/>
      </items>
    </pivotField>
    <pivotField compact="0" outline="0" multipleItemSelectionAllowed="1" showAll="0" defaultSubtotal="0"/>
  </pivotFields>
  <rowFields count="5">
    <field x="1"/>
    <field x="2"/>
    <field x="3"/>
    <field x="7"/>
    <field x="14"/>
  </rowFields>
  <rowItems count="1">
    <i t="grand">
      <x/>
    </i>
  </rowItems>
  <colItems count="1">
    <i/>
  </colItems>
  <pageFields count="1">
    <pageField fld="0" hier="-1"/>
  </pageFields>
  <formats count="2">
    <format dxfId="2">
      <pivotArea field="14" type="button" dataOnly="0" labelOnly="1" outline="0" axis="axisRow" fieldPosition="4"/>
    </format>
    <format dxfId="1">
      <pivotArea dataOnly="0" labelOnly="1" grandRow="1" outline="0" fieldPosition="0"/>
    </format>
  </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607EE8-5E98-CE46-B440-4B07F3A116A5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A13:D57" firstHeaderRow="1" firstDataRow="1" firstDataCol="3" rowPageCount="1" colPageCount="1"/>
  <pivotFields count="16">
    <pivotField compact="0" outline="0" showAll="0" defaultSubtotal="0"/>
    <pivotField axis="axisRow" compact="0" outline="0" showAll="0" sortType="descending" defaultSubtotal="0">
      <items count="67">
        <item x="16"/>
        <item x="5"/>
        <item x="28"/>
        <item x="0"/>
        <item x="14"/>
        <item x="2"/>
        <item x="9"/>
        <item x="47"/>
        <item x="11"/>
        <item x="20"/>
        <item x="8"/>
        <item x="15"/>
        <item x="24"/>
        <item x="17"/>
        <item x="1"/>
        <item x="4"/>
        <item x="6"/>
        <item x="26"/>
        <item x="21"/>
        <item x="29"/>
        <item x="27"/>
        <item x="10"/>
        <item x="25"/>
        <item x="31"/>
        <item x="23"/>
        <item x="36"/>
        <item x="22"/>
        <item x="3"/>
        <item x="18"/>
        <item x="13"/>
        <item x="32"/>
        <item x="39"/>
        <item x="33"/>
        <item x="35"/>
        <item x="37"/>
        <item x="43"/>
        <item x="38"/>
        <item x="30"/>
        <item x="51"/>
        <item x="41"/>
        <item x="50"/>
        <item x="7"/>
        <item x="12"/>
        <item x="19"/>
        <item x="34"/>
        <item x="40"/>
        <item x="42"/>
        <item x="44"/>
        <item x="45"/>
        <item x="46"/>
        <item x="48"/>
        <item x="49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defaultSubtotal="0">
      <items count="68">
        <item x="9"/>
        <item x="0"/>
        <item x="11"/>
        <item x="45"/>
        <item x="4"/>
        <item x="6"/>
        <item x="23"/>
        <item x="19"/>
        <item x="16"/>
        <item x="27"/>
        <item x="5"/>
        <item x="14"/>
        <item x="17"/>
        <item x="15"/>
        <item x="25"/>
        <item x="2"/>
        <item x="1"/>
        <item x="8"/>
        <item x="20"/>
        <item x="26"/>
        <item x="10"/>
        <item x="24"/>
        <item x="30"/>
        <item x="22"/>
        <item x="35"/>
        <item x="21"/>
        <item x="3"/>
        <item x="18"/>
        <item x="13"/>
        <item x="31"/>
        <item x="38"/>
        <item x="32"/>
        <item x="34"/>
        <item x="36"/>
        <item x="42"/>
        <item x="37"/>
        <item x="29"/>
        <item x="49"/>
        <item x="40"/>
        <item x="7"/>
        <item x="12"/>
        <item x="28"/>
        <item x="33"/>
        <item x="39"/>
        <item x="41"/>
        <item x="43"/>
        <item x="44"/>
        <item x="46"/>
        <item x="47"/>
        <item x="48"/>
        <item x="65"/>
        <item x="50"/>
        <item x="66"/>
        <item x="67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</items>
    </pivotField>
    <pivotField axis="axisRow" compact="0" outline="0" showAll="0" defaultSubtotal="0">
      <items count="62">
        <item x="20"/>
        <item x="23"/>
        <item x="9"/>
        <item x="21"/>
        <item x="6"/>
        <item x="1"/>
        <item x="4"/>
        <item x="5"/>
        <item x="17"/>
        <item x="43"/>
        <item x="14"/>
        <item x="0"/>
        <item x="25"/>
        <item x="8"/>
        <item x="2"/>
        <item x="11"/>
        <item x="27"/>
        <item x="16"/>
        <item x="15"/>
        <item x="26"/>
        <item x="10"/>
        <item x="24"/>
        <item x="30"/>
        <item x="22"/>
        <item x="34"/>
        <item x="3"/>
        <item x="18"/>
        <item x="13"/>
        <item x="19"/>
        <item x="31"/>
        <item x="32"/>
        <item x="35"/>
        <item x="40"/>
        <item x="36"/>
        <item x="29"/>
        <item x="38"/>
        <item x="37"/>
        <item x="7"/>
        <item x="12"/>
        <item x="28"/>
        <item x="33"/>
        <item x="39"/>
        <item x="41"/>
        <item x="42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dataField="1" compact="0" outline="0" multipleItemSelectionAllowed="1" showAll="0" defaultSubtotal="0">
      <items count="51">
        <item x="23"/>
        <item x="36"/>
        <item x="29"/>
        <item x="30"/>
        <item x="34"/>
        <item x="32"/>
        <item h="1" x="6"/>
        <item x="11"/>
        <item x="15"/>
        <item m="1" x="40"/>
        <item m="1" x="41"/>
        <item m="1" x="42"/>
        <item x="12"/>
        <item m="1" x="43"/>
        <item x="10"/>
        <item x="28"/>
        <item x="14"/>
        <item m="1" x="44"/>
        <item x="25"/>
        <item m="1" x="45"/>
        <item m="1" x="46"/>
        <item m="1" x="47"/>
        <item m="1" x="48"/>
        <item x="35"/>
        <item m="1" x="49"/>
        <item m="1" x="50"/>
        <item x="0"/>
        <item x="1"/>
        <item x="2"/>
        <item x="3"/>
        <item x="4"/>
        <item x="5"/>
        <item x="7"/>
        <item x="8"/>
        <item x="9"/>
        <item x="13"/>
        <item x="16"/>
        <item x="17"/>
        <item x="18"/>
        <item x="19"/>
        <item x="20"/>
        <item x="21"/>
        <item x="22"/>
        <item x="24"/>
        <item x="26"/>
        <item x="27"/>
        <item x="31"/>
        <item h="1" m="1" x="39"/>
        <item x="33"/>
        <item x="37"/>
        <item x="38"/>
      </items>
    </pivotField>
    <pivotField compact="0" outline="0" subtotalTop="0" showAll="0" defaultSubtotal="0"/>
    <pivotField compact="0" outline="0" subtotalTop="0" showAll="0" defaultSubtotal="0"/>
    <pivotField compact="0" outline="0" multipleItemSelectionAllowed="1" showAll="0" defaultSubtotal="0"/>
  </pivotFields>
  <rowFields count="3">
    <field x="1"/>
    <field x="2"/>
    <field x="3"/>
  </rowFields>
  <rowItems count="44">
    <i>
      <x v="6"/>
      <x/>
      <x v="2"/>
    </i>
    <i>
      <x v="15"/>
      <x v="4"/>
      <x v="6"/>
    </i>
    <i>
      <x v="3"/>
      <x v="1"/>
      <x v="11"/>
    </i>
    <i>
      <x v="43"/>
      <x v="20"/>
      <x v="28"/>
    </i>
    <i>
      <x v="4"/>
      <x v="11"/>
      <x v="10"/>
    </i>
    <i>
      <x v="21"/>
      <x v="20"/>
      <x v="20"/>
    </i>
    <i>
      <x v="18"/>
      <x v="18"/>
      <x v="3"/>
    </i>
    <i>
      <x v="10"/>
      <x v="17"/>
      <x v="13"/>
    </i>
    <i>
      <x v="41"/>
      <x v="39"/>
      <x v="37"/>
    </i>
    <i>
      <x v="11"/>
      <x v="13"/>
      <x v="18"/>
    </i>
    <i>
      <x v="8"/>
      <x v="2"/>
      <x v="15"/>
    </i>
    <i>
      <x v="17"/>
      <x v="14"/>
      <x v="12"/>
    </i>
    <i>
      <x v="13"/>
      <x v="12"/>
      <x v="8"/>
    </i>
    <i>
      <x v="26"/>
      <x v="25"/>
      <x v="13"/>
    </i>
    <i>
      <x v="22"/>
      <x v="21"/>
      <x v="21"/>
    </i>
    <i>
      <x v="28"/>
      <x v="27"/>
      <x v="26"/>
    </i>
    <i>
      <x v="5"/>
      <x v="15"/>
      <x v="14"/>
    </i>
    <i>
      <x v="16"/>
      <x v="5"/>
      <x v="4"/>
    </i>
    <i>
      <x v="29"/>
      <x v="28"/>
      <x v="27"/>
    </i>
    <i>
      <x v="24"/>
      <x v="23"/>
      <x v="23"/>
    </i>
    <i>
      <x v="14"/>
      <x v="16"/>
      <x v="5"/>
    </i>
    <i>
      <x v="27"/>
      <x v="26"/>
      <x v="25"/>
    </i>
    <i>
      <x v="12"/>
      <x v="6"/>
      <x v="1"/>
    </i>
    <i>
      <x/>
      <x v="8"/>
      <x v="17"/>
    </i>
    <i>
      <x v="20"/>
      <x v="19"/>
      <x v="19"/>
    </i>
    <i>
      <x v="1"/>
      <x v="10"/>
      <x v="7"/>
    </i>
    <i>
      <x v="40"/>
      <x v="49"/>
      <x v="46"/>
    </i>
    <i>
      <x v="32"/>
      <x v="31"/>
      <x v="30"/>
    </i>
    <i>
      <x v="35"/>
      <x v="34"/>
      <x v="32"/>
    </i>
    <i>
      <x v="47"/>
      <x v="45"/>
      <x v="42"/>
    </i>
    <i>
      <x v="38"/>
      <x v="37"/>
      <x v="47"/>
    </i>
    <i>
      <x v="34"/>
      <x v="33"/>
      <x v="31"/>
    </i>
    <i>
      <x v="31"/>
      <x v="30"/>
      <x v="2"/>
    </i>
    <i>
      <x v="9"/>
      <x v="7"/>
      <x/>
    </i>
    <i>
      <x v="19"/>
      <x v="41"/>
      <x v="49"/>
    </i>
    <i>
      <x v="42"/>
      <x v="40"/>
      <x v="38"/>
    </i>
    <i>
      <x v="39"/>
      <x v="38"/>
      <x v="35"/>
    </i>
    <i>
      <x v="45"/>
      <x v="43"/>
      <x v="36"/>
    </i>
    <i>
      <x v="37"/>
      <x v="36"/>
      <x v="34"/>
    </i>
    <i>
      <x v="44"/>
      <x v="42"/>
      <x v="40"/>
    </i>
    <i>
      <x v="30"/>
      <x v="29"/>
      <x v="29"/>
    </i>
    <i>
      <x v="2"/>
      <x v="9"/>
      <x v="16"/>
    </i>
    <i>
      <x v="36"/>
      <x v="35"/>
      <x v="33"/>
    </i>
    <i t="grand">
      <x/>
    </i>
  </rowItems>
  <colItems count="1">
    <i/>
  </colItems>
  <pageFields count="1">
    <pageField fld="12" hier="-1"/>
  </pageFields>
  <dataFields count="1">
    <dataField name="Suma de Premio" fld="12" baseField="0" baseItem="0" numFmtId="170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33C4C2-CCB3-7247-BE11-65F45434D756}" name="TablaDinámica13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I1:L9" firstHeaderRow="0" firstDataRow="1" firstDataCol="1"/>
  <pivotFields count="6">
    <pivotField axis="axisRow" showAll="0" sortType="ascending">
      <items count="9">
        <item x="3"/>
        <item x="1"/>
        <item x="0"/>
        <item x="6"/>
        <item x="7"/>
        <item x="5"/>
        <item h="1" x="4"/>
        <item x="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showAll="0"/>
    <pivotField dataField="1" showAll="0"/>
    <pivotField showAll="0"/>
    <pivotField dataField="1" showAll="0"/>
  </pivotFields>
  <rowFields count="1">
    <field x="0"/>
  </rowFields>
  <rowItems count="8">
    <i>
      <x v="2"/>
    </i>
    <i>
      <x v="5"/>
    </i>
    <i>
      <x/>
    </i>
    <i>
      <x v="7"/>
    </i>
    <i>
      <x v="3"/>
    </i>
    <i>
      <x v="1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REMIOS" fld="5" baseField="0" baseItem="0"/>
    <dataField name="Suma de GROSS" fld="2" baseField="0" baseItem="0"/>
    <dataField name="NETO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41C86-CC63-40D5-A95D-55BF079D6B81}">
  <dimension ref="B7:K52"/>
  <sheetViews>
    <sheetView topLeftCell="B1" zoomScale="110" zoomScaleNormal="110" workbookViewId="0">
      <pane xSplit="5" ySplit="7" topLeftCell="G8" activePane="bottomRight" state="frozen"/>
      <selection activeCell="B1" sqref="B1"/>
      <selection pane="topRight" activeCell="H1" sqref="H1"/>
      <selection pane="bottomLeft" activeCell="B2" sqref="B2"/>
      <selection pane="bottomRight" activeCell="L15" sqref="L15"/>
    </sheetView>
  </sheetViews>
  <sheetFormatPr baseColWidth="10" defaultRowHeight="14.4" x14ac:dyDescent="0.3"/>
  <cols>
    <col min="2" max="2" width="9.21875" style="3" customWidth="1"/>
    <col min="3" max="3" width="9.109375" style="3" customWidth="1"/>
    <col min="4" max="4" width="22.109375" bestFit="1" customWidth="1"/>
    <col min="5" max="5" width="18.88671875" bestFit="1" customWidth="1"/>
    <col min="6" max="7" width="11.33203125" style="3" customWidth="1"/>
    <col min="8" max="8" width="19.5546875" bestFit="1" customWidth="1"/>
    <col min="9" max="9" width="15.5546875" bestFit="1" customWidth="1"/>
    <col min="10" max="10" width="11.33203125" style="3" customWidth="1"/>
  </cols>
  <sheetData>
    <row r="7" spans="2:11" ht="28.8" x14ac:dyDescent="0.55000000000000004">
      <c r="D7" s="307" t="s">
        <v>593</v>
      </c>
      <c r="E7" s="307"/>
      <c r="F7" s="307"/>
      <c r="H7" s="308" t="s">
        <v>594</v>
      </c>
      <c r="I7" s="308"/>
      <c r="J7" s="308"/>
    </row>
    <row r="8" spans="2:11" x14ac:dyDescent="0.3">
      <c r="B8" s="169" t="s">
        <v>645</v>
      </c>
      <c r="C8" s="169" t="s">
        <v>638</v>
      </c>
      <c r="D8" s="223" t="s">
        <v>3</v>
      </c>
      <c r="E8" s="169" t="s">
        <v>4</v>
      </c>
      <c r="F8" s="171" t="s">
        <v>578</v>
      </c>
      <c r="G8" s="171" t="s">
        <v>638</v>
      </c>
      <c r="H8" s="223" t="s">
        <v>3</v>
      </c>
      <c r="I8" s="169" t="s">
        <v>4</v>
      </c>
      <c r="J8" s="171" t="s">
        <v>578</v>
      </c>
      <c r="K8" s="169" t="s">
        <v>637</v>
      </c>
    </row>
    <row r="9" spans="2:11" x14ac:dyDescent="0.3">
      <c r="B9" s="60"/>
      <c r="C9" s="277"/>
      <c r="D9" s="278" t="s">
        <v>222</v>
      </c>
      <c r="E9" s="278" t="s">
        <v>233</v>
      </c>
      <c r="F9" s="279">
        <v>12</v>
      </c>
      <c r="G9" s="199"/>
      <c r="H9" s="280" t="s">
        <v>175</v>
      </c>
      <c r="I9" s="278" t="s">
        <v>176</v>
      </c>
      <c r="J9" s="279">
        <v>11</v>
      </c>
      <c r="K9" s="60"/>
    </row>
    <row r="10" spans="2:11" x14ac:dyDescent="0.3">
      <c r="B10" s="60"/>
      <c r="C10" s="173"/>
      <c r="D10" s="281" t="s">
        <v>285</v>
      </c>
      <c r="E10" s="281" t="s">
        <v>286</v>
      </c>
      <c r="F10" s="279">
        <v>13</v>
      </c>
      <c r="G10" s="199"/>
      <c r="H10" s="278" t="s">
        <v>141</v>
      </c>
      <c r="I10" s="278" t="s">
        <v>142</v>
      </c>
      <c r="J10" s="279">
        <v>11</v>
      </c>
      <c r="K10" s="60"/>
    </row>
    <row r="11" spans="2:11" x14ac:dyDescent="0.3">
      <c r="B11" s="60"/>
      <c r="C11" s="277"/>
      <c r="D11" s="278" t="s">
        <v>222</v>
      </c>
      <c r="E11" s="278" t="s">
        <v>223</v>
      </c>
      <c r="F11" s="279">
        <v>10</v>
      </c>
      <c r="G11" s="199"/>
      <c r="H11" s="280" t="s">
        <v>105</v>
      </c>
      <c r="I11" s="278" t="s">
        <v>106</v>
      </c>
      <c r="J11" s="279">
        <v>4</v>
      </c>
      <c r="K11" s="60"/>
    </row>
    <row r="12" spans="2:11" x14ac:dyDescent="0.3">
      <c r="B12" s="60"/>
      <c r="C12" s="277"/>
      <c r="D12" s="278" t="s">
        <v>460</v>
      </c>
      <c r="E12" s="278" t="s">
        <v>246</v>
      </c>
      <c r="F12" s="279">
        <v>11</v>
      </c>
      <c r="G12" s="199"/>
      <c r="H12" s="278" t="s">
        <v>366</v>
      </c>
      <c r="I12" s="278" t="s">
        <v>367</v>
      </c>
      <c r="J12" s="279">
        <v>3</v>
      </c>
      <c r="K12" s="60"/>
    </row>
    <row r="13" spans="2:11" x14ac:dyDescent="0.3">
      <c r="B13" s="60"/>
      <c r="C13" s="173"/>
      <c r="D13" s="278" t="s">
        <v>249</v>
      </c>
      <c r="E13" s="278" t="s">
        <v>250</v>
      </c>
      <c r="F13" s="279">
        <v>13</v>
      </c>
      <c r="G13" s="282"/>
      <c r="H13" s="305" t="s">
        <v>39</v>
      </c>
      <c r="I13" s="305" t="s">
        <v>40</v>
      </c>
      <c r="J13" s="306">
        <v>16</v>
      </c>
      <c r="K13" s="60"/>
    </row>
    <row r="14" spans="2:11" x14ac:dyDescent="0.3">
      <c r="B14" s="60"/>
      <c r="C14" s="283"/>
      <c r="D14" s="176" t="s">
        <v>571</v>
      </c>
      <c r="E14" s="176" t="s">
        <v>161</v>
      </c>
      <c r="F14" s="199">
        <v>20</v>
      </c>
      <c r="G14" s="284"/>
      <c r="H14" s="285" t="s">
        <v>326</v>
      </c>
      <c r="I14" s="285" t="s">
        <v>327</v>
      </c>
      <c r="J14" s="286">
        <v>21</v>
      </c>
      <c r="K14" s="60"/>
    </row>
    <row r="15" spans="2:11" x14ac:dyDescent="0.3">
      <c r="B15" s="60"/>
      <c r="C15" s="277"/>
      <c r="D15" s="285" t="s">
        <v>339</v>
      </c>
      <c r="E15" s="285" t="s">
        <v>340</v>
      </c>
      <c r="F15" s="286">
        <v>16</v>
      </c>
      <c r="G15" s="199"/>
      <c r="H15" s="278" t="s">
        <v>355</v>
      </c>
      <c r="I15" s="278" t="s">
        <v>356</v>
      </c>
      <c r="J15" s="279">
        <v>16</v>
      </c>
      <c r="K15" s="60"/>
    </row>
    <row r="16" spans="2:11" x14ac:dyDescent="0.3">
      <c r="B16" s="60"/>
      <c r="C16" s="277"/>
      <c r="D16" s="278" t="s">
        <v>153</v>
      </c>
      <c r="E16" s="278" t="s">
        <v>154</v>
      </c>
      <c r="F16" s="287">
        <v>17</v>
      </c>
      <c r="G16" s="199"/>
      <c r="H16" s="175" t="s">
        <v>462</v>
      </c>
      <c r="I16" s="175" t="s">
        <v>570</v>
      </c>
      <c r="J16" s="199">
        <v>19</v>
      </c>
      <c r="K16" s="60"/>
    </row>
    <row r="17" spans="2:11" x14ac:dyDescent="0.3">
      <c r="B17" s="60"/>
      <c r="C17" s="173"/>
      <c r="D17" s="175" t="s">
        <v>47</v>
      </c>
      <c r="E17" s="175" t="s">
        <v>48</v>
      </c>
      <c r="F17" s="199">
        <v>19</v>
      </c>
      <c r="G17" s="199"/>
      <c r="H17" s="175" t="s">
        <v>118</v>
      </c>
      <c r="I17" s="175" t="s">
        <v>119</v>
      </c>
      <c r="J17" s="288">
        <v>18</v>
      </c>
      <c r="K17" s="60"/>
    </row>
    <row r="18" spans="2:11" x14ac:dyDescent="0.3">
      <c r="B18" s="60"/>
      <c r="C18" s="283"/>
      <c r="D18" s="175" t="s">
        <v>72</v>
      </c>
      <c r="E18" s="175" t="s">
        <v>71</v>
      </c>
      <c r="F18" s="199">
        <v>21</v>
      </c>
      <c r="G18" s="199"/>
      <c r="H18" s="175" t="s">
        <v>220</v>
      </c>
      <c r="I18" s="175" t="s">
        <v>221</v>
      </c>
      <c r="J18" s="199">
        <v>20</v>
      </c>
      <c r="K18" s="60"/>
    </row>
    <row r="19" spans="2:11" x14ac:dyDescent="0.3">
      <c r="B19" s="60"/>
      <c r="C19" s="173"/>
      <c r="D19" s="176" t="s">
        <v>353</v>
      </c>
      <c r="E19" s="176" t="s">
        <v>354</v>
      </c>
      <c r="F19" s="199">
        <v>25</v>
      </c>
      <c r="G19" s="199"/>
      <c r="H19" s="184" t="s">
        <v>642</v>
      </c>
      <c r="I19" s="184" t="s">
        <v>211</v>
      </c>
      <c r="J19" s="199">
        <v>28</v>
      </c>
      <c r="K19" s="60"/>
    </row>
    <row r="20" spans="2:11" x14ac:dyDescent="0.3">
      <c r="B20" s="60"/>
      <c r="C20" s="277"/>
      <c r="D20" s="285" t="s">
        <v>351</v>
      </c>
      <c r="E20" s="285" t="s">
        <v>352</v>
      </c>
      <c r="F20" s="289">
        <v>26</v>
      </c>
      <c r="G20" s="199"/>
      <c r="H20" s="285" t="s">
        <v>341</v>
      </c>
      <c r="I20" s="285" t="s">
        <v>369</v>
      </c>
      <c r="J20" s="290">
        <v>34</v>
      </c>
      <c r="K20" s="60"/>
    </row>
    <row r="21" spans="2:11" x14ac:dyDescent="0.3">
      <c r="B21" s="60"/>
      <c r="C21" s="277"/>
      <c r="D21" s="175" t="s">
        <v>195</v>
      </c>
      <c r="E21" s="175" t="s">
        <v>196</v>
      </c>
      <c r="F21" s="199">
        <v>25</v>
      </c>
      <c r="G21" s="199"/>
      <c r="H21" s="278" t="s">
        <v>235</v>
      </c>
      <c r="I21" s="278" t="s">
        <v>236</v>
      </c>
      <c r="J21" s="279">
        <v>20</v>
      </c>
      <c r="K21" s="60"/>
    </row>
    <row r="22" spans="2:11" x14ac:dyDescent="0.3">
      <c r="B22" s="60"/>
      <c r="C22" s="277"/>
      <c r="D22" s="291" t="s">
        <v>52</v>
      </c>
      <c r="E22" s="292" t="s">
        <v>53</v>
      </c>
      <c r="F22" s="286">
        <v>33</v>
      </c>
      <c r="G22" s="199"/>
      <c r="H22" s="176" t="s">
        <v>589</v>
      </c>
      <c r="I22" s="175" t="s">
        <v>590</v>
      </c>
      <c r="J22" s="199">
        <v>28</v>
      </c>
      <c r="K22" s="60"/>
    </row>
    <row r="23" spans="2:11" x14ac:dyDescent="0.3">
      <c r="B23" s="60"/>
      <c r="C23" s="277"/>
      <c r="D23" s="176" t="s">
        <v>574</v>
      </c>
      <c r="E23" s="175" t="s">
        <v>575</v>
      </c>
      <c r="F23" s="199">
        <v>28</v>
      </c>
      <c r="G23" s="199"/>
      <c r="H23" s="176" t="s">
        <v>193</v>
      </c>
      <c r="I23" s="176" t="s">
        <v>194</v>
      </c>
      <c r="J23" s="199">
        <v>29</v>
      </c>
      <c r="K23" s="60"/>
    </row>
    <row r="24" spans="2:11" x14ac:dyDescent="0.3">
      <c r="B24" s="60"/>
      <c r="C24" s="277"/>
      <c r="D24" s="285" t="s">
        <v>263</v>
      </c>
      <c r="E24" s="285" t="s">
        <v>264</v>
      </c>
      <c r="F24" s="286">
        <v>36</v>
      </c>
      <c r="G24" s="199"/>
      <c r="H24" s="175" t="s">
        <v>333</v>
      </c>
      <c r="I24" s="175" t="s">
        <v>471</v>
      </c>
      <c r="J24" s="288">
        <v>31</v>
      </c>
      <c r="K24" s="60"/>
    </row>
    <row r="25" spans="2:11" x14ac:dyDescent="0.3">
      <c r="B25" s="60"/>
      <c r="C25" s="173"/>
      <c r="D25" s="281" t="s">
        <v>341</v>
      </c>
      <c r="E25" s="281" t="s">
        <v>342</v>
      </c>
      <c r="F25" s="279">
        <v>15</v>
      </c>
      <c r="G25" s="293"/>
      <c r="H25" s="278" t="s">
        <v>302</v>
      </c>
      <c r="I25" s="278" t="s">
        <v>303</v>
      </c>
      <c r="J25" s="279">
        <v>16</v>
      </c>
      <c r="K25" s="60"/>
    </row>
    <row r="26" spans="2:11" x14ac:dyDescent="0.3">
      <c r="B26" s="60"/>
      <c r="C26" s="277"/>
      <c r="D26" s="175" t="s">
        <v>364</v>
      </c>
      <c r="E26" s="175" t="s">
        <v>365</v>
      </c>
      <c r="F26" s="199">
        <v>19</v>
      </c>
      <c r="G26" s="199"/>
      <c r="H26" s="278" t="s">
        <v>191</v>
      </c>
      <c r="I26" s="278" t="s">
        <v>106</v>
      </c>
      <c r="J26" s="279">
        <v>17</v>
      </c>
      <c r="K26" s="60"/>
    </row>
    <row r="27" spans="2:11" x14ac:dyDescent="0.3">
      <c r="B27" s="60"/>
      <c r="C27" s="277"/>
      <c r="D27" s="175" t="s">
        <v>107</v>
      </c>
      <c r="E27" s="175" t="s">
        <v>108</v>
      </c>
      <c r="F27" s="199">
        <v>16</v>
      </c>
      <c r="G27" s="199"/>
      <c r="H27" s="281" t="s">
        <v>328</v>
      </c>
      <c r="I27" s="281" t="s">
        <v>200</v>
      </c>
      <c r="J27" s="279">
        <v>17</v>
      </c>
      <c r="K27" s="60"/>
    </row>
    <row r="28" spans="2:11" x14ac:dyDescent="0.3">
      <c r="B28" s="60"/>
      <c r="C28" s="277"/>
      <c r="D28" s="175" t="s">
        <v>225</v>
      </c>
      <c r="E28" s="175" t="s">
        <v>226</v>
      </c>
      <c r="F28" s="199">
        <v>21</v>
      </c>
      <c r="G28" s="199"/>
      <c r="H28" s="175" t="s">
        <v>188</v>
      </c>
      <c r="I28" s="175" t="s">
        <v>189</v>
      </c>
      <c r="J28" s="199">
        <v>22</v>
      </c>
      <c r="K28" s="60"/>
    </row>
    <row r="29" spans="2:11" x14ac:dyDescent="0.3">
      <c r="B29" s="60"/>
      <c r="C29" s="277"/>
      <c r="D29" s="280" t="s">
        <v>41</v>
      </c>
      <c r="E29" s="278" t="s">
        <v>42</v>
      </c>
      <c r="F29" s="294">
        <v>15</v>
      </c>
      <c r="G29" s="199"/>
      <c r="H29" s="278" t="s">
        <v>149</v>
      </c>
      <c r="I29" s="278" t="s">
        <v>150</v>
      </c>
      <c r="J29" s="279">
        <v>12</v>
      </c>
      <c r="K29" s="60"/>
    </row>
    <row r="30" spans="2:11" x14ac:dyDescent="0.3">
      <c r="B30" s="60"/>
      <c r="C30" s="277"/>
      <c r="D30" s="281" t="s">
        <v>157</v>
      </c>
      <c r="E30" s="278" t="s">
        <v>158</v>
      </c>
      <c r="F30" s="279">
        <v>17</v>
      </c>
      <c r="G30" s="199"/>
      <c r="H30" s="278" t="s">
        <v>151</v>
      </c>
      <c r="I30" s="278" t="s">
        <v>152</v>
      </c>
      <c r="J30" s="279">
        <v>13</v>
      </c>
      <c r="K30" s="60"/>
    </row>
    <row r="52" spans="3:3" x14ac:dyDescent="0.3">
      <c r="C52" s="276"/>
    </row>
  </sheetData>
  <autoFilter ref="C8:I33" xr:uid="{EBCC2CBD-898B-4CC2-96A9-05B4203CA713}"/>
  <mergeCells count="2">
    <mergeCell ref="D7:F7"/>
    <mergeCell ref="H7:J7"/>
  </mergeCells>
  <pageMargins left="0.70866141732283472" right="0.70866141732283472" top="0.74803149606299213" bottom="0.74803149606299213" header="0.31496062992125984" footer="0.31496062992125984"/>
  <pageSetup scale="8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CEB67-9A52-4450-A176-F0AD928625B5}">
  <dimension ref="B1:M60"/>
  <sheetViews>
    <sheetView view="pageBreakPreview" topLeftCell="B1" zoomScale="112" zoomScaleNormal="110" zoomScaleSheetLayoutView="112" workbookViewId="0">
      <pane xSplit="6" ySplit="2" topLeftCell="I9" activePane="bottomRight" state="frozen"/>
      <selection activeCell="B1" sqref="B1"/>
      <selection pane="topRight" activeCell="H1" sqref="H1"/>
      <selection pane="bottomLeft" activeCell="B2" sqref="B2"/>
      <selection pane="bottomRight" activeCell="M26" sqref="M26"/>
    </sheetView>
  </sheetViews>
  <sheetFormatPr baseColWidth="10" defaultRowHeight="14.4" x14ac:dyDescent="0.3"/>
  <cols>
    <col min="2" max="2" width="9.21875" style="3" customWidth="1"/>
    <col min="3" max="3" width="9.109375" style="3" hidden="1" customWidth="1"/>
    <col min="4" max="4" width="22.109375" bestFit="1" customWidth="1"/>
    <col min="5" max="5" width="18.88671875" bestFit="1" customWidth="1"/>
    <col min="6" max="6" width="14.33203125" customWidth="1"/>
    <col min="7" max="8" width="11.33203125" style="3" hidden="1" customWidth="1"/>
    <col min="9" max="9" width="19.5546875" bestFit="1" customWidth="1"/>
    <col min="10" max="10" width="15.5546875" bestFit="1" customWidth="1"/>
    <col min="11" max="11" width="14.33203125" customWidth="1"/>
    <col min="12" max="12" width="11.33203125" style="3" hidden="1" customWidth="1"/>
  </cols>
  <sheetData>
    <row r="1" spans="2:13" ht="48" customHeight="1" x14ac:dyDescent="0.3">
      <c r="D1" s="309" t="s">
        <v>636</v>
      </c>
      <c r="E1" s="309"/>
      <c r="F1" s="309"/>
      <c r="G1" s="309"/>
      <c r="H1" s="309"/>
      <c r="I1" s="309"/>
      <c r="J1" s="309"/>
      <c r="K1" s="309"/>
    </row>
    <row r="2" spans="2:13" ht="28.8" x14ac:dyDescent="0.55000000000000004">
      <c r="D2" s="307" t="s">
        <v>593</v>
      </c>
      <c r="E2" s="307"/>
      <c r="F2" s="307"/>
      <c r="G2" s="307"/>
      <c r="I2" s="308" t="s">
        <v>594</v>
      </c>
      <c r="J2" s="308"/>
      <c r="K2" s="308"/>
      <c r="L2" s="308"/>
    </row>
    <row r="3" spans="2:13" ht="15" thickBot="1" x14ac:dyDescent="0.35">
      <c r="B3" s="226" t="s">
        <v>637</v>
      </c>
      <c r="C3" s="226" t="s">
        <v>638</v>
      </c>
      <c r="D3" s="227" t="s">
        <v>3</v>
      </c>
      <c r="E3" s="226" t="s">
        <v>4</v>
      </c>
      <c r="F3" s="228" t="s">
        <v>578</v>
      </c>
      <c r="G3" s="228" t="s">
        <v>578</v>
      </c>
      <c r="H3" s="228" t="s">
        <v>638</v>
      </c>
      <c r="I3" s="227" t="s">
        <v>3</v>
      </c>
      <c r="J3" s="226" t="s">
        <v>4</v>
      </c>
      <c r="K3" s="228" t="s">
        <v>578</v>
      </c>
      <c r="L3" s="228" t="s">
        <v>578</v>
      </c>
      <c r="M3" s="226" t="s">
        <v>637</v>
      </c>
    </row>
    <row r="4" spans="2:13" x14ac:dyDescent="0.3">
      <c r="B4" s="229">
        <v>1</v>
      </c>
      <c r="C4" s="230">
        <v>3</v>
      </c>
      <c r="D4" s="231" t="s">
        <v>222</v>
      </c>
      <c r="E4" s="231" t="s">
        <v>233</v>
      </c>
      <c r="F4" s="232">
        <v>8</v>
      </c>
      <c r="G4" s="233">
        <v>12</v>
      </c>
      <c r="H4" s="234">
        <v>3</v>
      </c>
      <c r="I4" s="235" t="s">
        <v>175</v>
      </c>
      <c r="J4" s="231" t="s">
        <v>176</v>
      </c>
      <c r="K4" s="232">
        <v>8</v>
      </c>
      <c r="L4" s="233">
        <v>11</v>
      </c>
      <c r="M4" s="236">
        <v>1</v>
      </c>
    </row>
    <row r="5" spans="2:13" ht="15" thickBot="1" x14ac:dyDescent="0.35">
      <c r="B5" s="237">
        <v>1</v>
      </c>
      <c r="C5" s="238">
        <v>3</v>
      </c>
      <c r="D5" s="239" t="s">
        <v>285</v>
      </c>
      <c r="E5" s="239" t="s">
        <v>286</v>
      </c>
      <c r="F5" s="240">
        <v>9</v>
      </c>
      <c r="G5" s="241">
        <v>13</v>
      </c>
      <c r="H5" s="242">
        <v>3</v>
      </c>
      <c r="I5" s="243" t="s">
        <v>141</v>
      </c>
      <c r="J5" s="243" t="s">
        <v>142</v>
      </c>
      <c r="K5" s="240">
        <v>8</v>
      </c>
      <c r="L5" s="241">
        <v>11</v>
      </c>
      <c r="M5" s="244">
        <v>1</v>
      </c>
    </row>
    <row r="6" spans="2:13" x14ac:dyDescent="0.3">
      <c r="B6" s="229" t="s">
        <v>639</v>
      </c>
      <c r="C6" s="230">
        <v>2</v>
      </c>
      <c r="D6" s="231" t="s">
        <v>222</v>
      </c>
      <c r="E6" s="231" t="s">
        <v>223</v>
      </c>
      <c r="F6" s="232">
        <v>7</v>
      </c>
      <c r="G6" s="233">
        <v>10</v>
      </c>
      <c r="H6" s="234">
        <v>2</v>
      </c>
      <c r="I6" s="235" t="s">
        <v>105</v>
      </c>
      <c r="J6" s="231" t="s">
        <v>106</v>
      </c>
      <c r="K6" s="232">
        <v>3</v>
      </c>
      <c r="L6" s="233">
        <v>4</v>
      </c>
      <c r="M6" s="236" t="s">
        <v>639</v>
      </c>
    </row>
    <row r="7" spans="2:13" ht="15" thickBot="1" x14ac:dyDescent="0.35">
      <c r="B7" s="237" t="s">
        <v>639</v>
      </c>
      <c r="C7" s="245">
        <v>2</v>
      </c>
      <c r="D7" s="243" t="s">
        <v>460</v>
      </c>
      <c r="E7" s="243" t="s">
        <v>246</v>
      </c>
      <c r="F7" s="241">
        <v>8</v>
      </c>
      <c r="G7" s="241">
        <v>11</v>
      </c>
      <c r="H7" s="242">
        <v>2</v>
      </c>
      <c r="I7" s="239" t="s">
        <v>640</v>
      </c>
      <c r="J7" s="239" t="s">
        <v>99</v>
      </c>
      <c r="K7" s="241">
        <v>6</v>
      </c>
      <c r="L7" s="246">
        <v>8</v>
      </c>
      <c r="M7" s="244" t="s">
        <v>639</v>
      </c>
    </row>
    <row r="8" spans="2:13" x14ac:dyDescent="0.3">
      <c r="B8" s="229" t="s">
        <v>641</v>
      </c>
      <c r="C8" s="247">
        <v>1</v>
      </c>
      <c r="D8" s="231" t="s">
        <v>249</v>
      </c>
      <c r="E8" s="231" t="s">
        <v>250</v>
      </c>
      <c r="F8" s="248">
        <v>9</v>
      </c>
      <c r="G8" s="233">
        <v>13</v>
      </c>
      <c r="H8" s="249">
        <v>1</v>
      </c>
      <c r="I8" s="303" t="s">
        <v>39</v>
      </c>
      <c r="J8" s="303" t="s">
        <v>40</v>
      </c>
      <c r="K8" s="304">
        <v>11</v>
      </c>
      <c r="L8" s="250">
        <v>16</v>
      </c>
      <c r="M8" s="236" t="s">
        <v>641</v>
      </c>
    </row>
    <row r="9" spans="2:13" ht="15" thickBot="1" x14ac:dyDescent="0.35">
      <c r="B9" s="237" t="s">
        <v>641</v>
      </c>
      <c r="C9" s="251">
        <v>1</v>
      </c>
      <c r="D9" s="252" t="s">
        <v>571</v>
      </c>
      <c r="E9" s="252" t="s">
        <v>161</v>
      </c>
      <c r="F9" s="253">
        <v>14</v>
      </c>
      <c r="G9" s="242">
        <v>20</v>
      </c>
      <c r="H9" s="254">
        <v>1</v>
      </c>
      <c r="I9" s="255" t="s">
        <v>326</v>
      </c>
      <c r="J9" s="255" t="s">
        <v>327</v>
      </c>
      <c r="K9" s="256">
        <v>15</v>
      </c>
      <c r="L9" s="257">
        <v>21</v>
      </c>
      <c r="M9" s="244" t="s">
        <v>641</v>
      </c>
    </row>
    <row r="10" spans="2:13" x14ac:dyDescent="0.3">
      <c r="B10" s="229">
        <v>3</v>
      </c>
      <c r="C10" s="230">
        <v>6</v>
      </c>
      <c r="D10" s="258" t="s">
        <v>339</v>
      </c>
      <c r="E10" s="258" t="s">
        <v>340</v>
      </c>
      <c r="F10" s="259">
        <v>11</v>
      </c>
      <c r="G10" s="260">
        <v>16</v>
      </c>
      <c r="H10" s="234">
        <v>6</v>
      </c>
      <c r="I10" s="231" t="s">
        <v>355</v>
      </c>
      <c r="J10" s="231" t="s">
        <v>356</v>
      </c>
      <c r="K10" s="232">
        <v>11</v>
      </c>
      <c r="L10" s="233">
        <v>16</v>
      </c>
      <c r="M10" s="236">
        <v>3</v>
      </c>
    </row>
    <row r="11" spans="2:13" ht="15" thickBot="1" x14ac:dyDescent="0.35">
      <c r="B11" s="237">
        <v>3</v>
      </c>
      <c r="C11" s="245">
        <v>6</v>
      </c>
      <c r="D11" s="243" t="s">
        <v>153</v>
      </c>
      <c r="E11" s="243" t="s">
        <v>154</v>
      </c>
      <c r="F11" s="261">
        <v>12</v>
      </c>
      <c r="G11" s="246">
        <v>17</v>
      </c>
      <c r="H11" s="242">
        <v>6</v>
      </c>
      <c r="I11" s="262" t="s">
        <v>462</v>
      </c>
      <c r="J11" s="262" t="s">
        <v>570</v>
      </c>
      <c r="K11" s="253">
        <v>13</v>
      </c>
      <c r="L11" s="242">
        <v>19</v>
      </c>
      <c r="M11" s="244">
        <v>3</v>
      </c>
    </row>
    <row r="12" spans="2:13" x14ac:dyDescent="0.3">
      <c r="B12" s="229">
        <v>4</v>
      </c>
      <c r="C12" s="247">
        <v>8</v>
      </c>
      <c r="D12" s="263" t="s">
        <v>47</v>
      </c>
      <c r="E12" s="263" t="s">
        <v>48</v>
      </c>
      <c r="F12" s="264">
        <v>13</v>
      </c>
      <c r="G12" s="234">
        <v>19</v>
      </c>
      <c r="H12" s="234">
        <v>8</v>
      </c>
      <c r="I12" s="263" t="s">
        <v>118</v>
      </c>
      <c r="J12" s="263" t="s">
        <v>119</v>
      </c>
      <c r="K12" s="264">
        <v>13</v>
      </c>
      <c r="L12" s="265">
        <v>18</v>
      </c>
      <c r="M12" s="236">
        <v>4</v>
      </c>
    </row>
    <row r="13" spans="2:13" ht="15" thickBot="1" x14ac:dyDescent="0.35">
      <c r="B13" s="237">
        <v>4</v>
      </c>
      <c r="C13" s="251">
        <v>8</v>
      </c>
      <c r="D13" s="262" t="s">
        <v>72</v>
      </c>
      <c r="E13" s="262" t="s">
        <v>71</v>
      </c>
      <c r="F13" s="253">
        <v>15</v>
      </c>
      <c r="G13" s="242">
        <v>21</v>
      </c>
      <c r="H13" s="242">
        <v>8</v>
      </c>
      <c r="I13" s="262" t="s">
        <v>220</v>
      </c>
      <c r="J13" s="262" t="s">
        <v>221</v>
      </c>
      <c r="K13" s="253">
        <v>14</v>
      </c>
      <c r="L13" s="242">
        <v>20</v>
      </c>
      <c r="M13" s="244">
        <v>4</v>
      </c>
    </row>
    <row r="14" spans="2:13" x14ac:dyDescent="0.3">
      <c r="B14" s="229">
        <v>5</v>
      </c>
      <c r="C14" s="247">
        <v>9</v>
      </c>
      <c r="D14" s="266" t="s">
        <v>353</v>
      </c>
      <c r="E14" s="266" t="s">
        <v>354</v>
      </c>
      <c r="F14" s="264">
        <v>18</v>
      </c>
      <c r="G14" s="234">
        <v>25</v>
      </c>
      <c r="H14" s="234">
        <v>9</v>
      </c>
      <c r="I14" s="267" t="s">
        <v>654</v>
      </c>
      <c r="J14" s="267" t="s">
        <v>655</v>
      </c>
      <c r="K14" s="264">
        <v>20</v>
      </c>
      <c r="L14" s="234">
        <v>19</v>
      </c>
      <c r="M14" s="236">
        <v>5</v>
      </c>
    </row>
    <row r="15" spans="2:13" ht="15" thickBot="1" x14ac:dyDescent="0.35">
      <c r="B15" s="237">
        <v>5</v>
      </c>
      <c r="C15" s="245">
        <v>9</v>
      </c>
      <c r="D15" s="255" t="s">
        <v>351</v>
      </c>
      <c r="E15" s="255" t="s">
        <v>352</v>
      </c>
      <c r="F15" s="256">
        <v>18</v>
      </c>
      <c r="G15" s="268">
        <v>26</v>
      </c>
      <c r="H15" s="242">
        <v>9</v>
      </c>
      <c r="I15" s="255" t="s">
        <v>341</v>
      </c>
      <c r="J15" s="255" t="s">
        <v>369</v>
      </c>
      <c r="K15" s="256">
        <v>24</v>
      </c>
      <c r="L15" s="269">
        <v>34</v>
      </c>
      <c r="M15" s="244">
        <v>5</v>
      </c>
    </row>
    <row r="16" spans="2:13" x14ac:dyDescent="0.3">
      <c r="B16" s="229">
        <v>6</v>
      </c>
      <c r="C16" s="230">
        <v>10</v>
      </c>
      <c r="D16" s="263" t="s">
        <v>195</v>
      </c>
      <c r="E16" s="263" t="s">
        <v>196</v>
      </c>
      <c r="F16" s="264">
        <v>18</v>
      </c>
      <c r="G16" s="234">
        <v>25</v>
      </c>
      <c r="H16" s="234">
        <v>10</v>
      </c>
      <c r="I16" s="231" t="s">
        <v>235</v>
      </c>
      <c r="J16" s="231" t="s">
        <v>236</v>
      </c>
      <c r="K16" s="232">
        <v>14</v>
      </c>
      <c r="L16" s="233">
        <v>20</v>
      </c>
      <c r="M16" s="236">
        <v>6</v>
      </c>
    </row>
    <row r="17" spans="2:13" ht="15" thickBot="1" x14ac:dyDescent="0.35">
      <c r="B17" s="237">
        <v>6</v>
      </c>
      <c r="C17" s="245">
        <v>10</v>
      </c>
      <c r="D17" s="270" t="s">
        <v>52</v>
      </c>
      <c r="E17" s="271" t="s">
        <v>53</v>
      </c>
      <c r="F17" s="256">
        <v>23</v>
      </c>
      <c r="G17" s="257">
        <v>33</v>
      </c>
      <c r="H17" s="242">
        <v>10</v>
      </c>
      <c r="I17" s="252" t="s">
        <v>589</v>
      </c>
      <c r="J17" s="262" t="s">
        <v>590</v>
      </c>
      <c r="K17" s="253">
        <v>20</v>
      </c>
      <c r="L17" s="242">
        <v>28</v>
      </c>
      <c r="M17" s="244">
        <v>6</v>
      </c>
    </row>
    <row r="18" spans="2:13" x14ac:dyDescent="0.3">
      <c r="B18" s="229">
        <v>7</v>
      </c>
      <c r="C18" s="230">
        <v>11</v>
      </c>
      <c r="D18" s="266" t="s">
        <v>574</v>
      </c>
      <c r="E18" s="263" t="s">
        <v>575</v>
      </c>
      <c r="F18" s="264">
        <v>20</v>
      </c>
      <c r="G18" s="234">
        <v>28</v>
      </c>
      <c r="H18" s="234">
        <v>11</v>
      </c>
      <c r="I18" s="266" t="s">
        <v>193</v>
      </c>
      <c r="J18" s="266" t="s">
        <v>194</v>
      </c>
      <c r="K18" s="264">
        <v>20</v>
      </c>
      <c r="L18" s="234">
        <v>29</v>
      </c>
      <c r="M18" s="236">
        <v>7</v>
      </c>
    </row>
    <row r="19" spans="2:13" ht="15" thickBot="1" x14ac:dyDescent="0.35">
      <c r="B19" s="237">
        <v>7</v>
      </c>
      <c r="C19" s="245">
        <v>11</v>
      </c>
      <c r="D19" s="255" t="s">
        <v>263</v>
      </c>
      <c r="E19" s="255" t="s">
        <v>264</v>
      </c>
      <c r="F19" s="256">
        <v>25</v>
      </c>
      <c r="G19" s="257">
        <v>36</v>
      </c>
      <c r="H19" s="242">
        <v>11</v>
      </c>
      <c r="I19" s="262" t="s">
        <v>333</v>
      </c>
      <c r="J19" s="262" t="s">
        <v>471</v>
      </c>
      <c r="K19" s="253">
        <v>22</v>
      </c>
      <c r="L19" s="272">
        <v>31</v>
      </c>
      <c r="M19" s="244">
        <v>7</v>
      </c>
    </row>
    <row r="20" spans="2:13" x14ac:dyDescent="0.3">
      <c r="B20" s="229" t="s">
        <v>643</v>
      </c>
      <c r="C20" s="247">
        <v>5</v>
      </c>
      <c r="D20" s="273" t="s">
        <v>341</v>
      </c>
      <c r="E20" s="273" t="s">
        <v>342</v>
      </c>
      <c r="F20" s="232">
        <v>11</v>
      </c>
      <c r="G20" s="233">
        <v>15</v>
      </c>
      <c r="H20" s="274">
        <v>5</v>
      </c>
      <c r="I20" s="231" t="s">
        <v>302</v>
      </c>
      <c r="J20" s="231" t="s">
        <v>303</v>
      </c>
      <c r="K20" s="232">
        <v>11</v>
      </c>
      <c r="L20" s="233">
        <v>16</v>
      </c>
      <c r="M20" s="236" t="s">
        <v>643</v>
      </c>
    </row>
    <row r="21" spans="2:13" ht="15" thickBot="1" x14ac:dyDescent="0.35">
      <c r="B21" s="237" t="s">
        <v>643</v>
      </c>
      <c r="C21" s="245">
        <v>5</v>
      </c>
      <c r="D21" s="262" t="s">
        <v>364</v>
      </c>
      <c r="E21" s="262" t="s">
        <v>365</v>
      </c>
      <c r="F21" s="253">
        <v>13</v>
      </c>
      <c r="G21" s="242">
        <v>19</v>
      </c>
      <c r="H21" s="242">
        <v>5</v>
      </c>
      <c r="I21" s="243" t="s">
        <v>191</v>
      </c>
      <c r="J21" s="243" t="s">
        <v>106</v>
      </c>
      <c r="K21" s="261">
        <v>12</v>
      </c>
      <c r="L21" s="241">
        <v>17</v>
      </c>
      <c r="M21" s="244" t="s">
        <v>643</v>
      </c>
    </row>
    <row r="22" spans="2:13" x14ac:dyDescent="0.3">
      <c r="B22" s="229" t="s">
        <v>644</v>
      </c>
      <c r="C22" s="230">
        <v>7</v>
      </c>
      <c r="D22" s="263" t="s">
        <v>107</v>
      </c>
      <c r="E22" s="263" t="s">
        <v>108</v>
      </c>
      <c r="F22" s="264">
        <v>11</v>
      </c>
      <c r="G22" s="234">
        <v>16</v>
      </c>
      <c r="H22" s="234">
        <v>7</v>
      </c>
      <c r="I22" s="273" t="s">
        <v>328</v>
      </c>
      <c r="J22" s="273" t="s">
        <v>200</v>
      </c>
      <c r="K22" s="232">
        <v>12</v>
      </c>
      <c r="L22" s="233">
        <v>17</v>
      </c>
      <c r="M22" s="236" t="s">
        <v>644</v>
      </c>
    </row>
    <row r="23" spans="2:13" ht="15" thickBot="1" x14ac:dyDescent="0.35">
      <c r="B23" s="237" t="s">
        <v>644</v>
      </c>
      <c r="C23" s="245">
        <v>7</v>
      </c>
      <c r="D23" s="262" t="s">
        <v>225</v>
      </c>
      <c r="E23" s="262" t="s">
        <v>226</v>
      </c>
      <c r="F23" s="253">
        <v>15</v>
      </c>
      <c r="G23" s="242">
        <v>21</v>
      </c>
      <c r="H23" s="242">
        <v>7</v>
      </c>
      <c r="I23" s="262" t="s">
        <v>188</v>
      </c>
      <c r="J23" s="262" t="s">
        <v>189</v>
      </c>
      <c r="K23" s="253">
        <v>15</v>
      </c>
      <c r="L23" s="242">
        <v>22</v>
      </c>
      <c r="M23" s="244" t="s">
        <v>644</v>
      </c>
    </row>
    <row r="24" spans="2:13" x14ac:dyDescent="0.3">
      <c r="B24" s="229">
        <v>9</v>
      </c>
      <c r="C24" s="230">
        <v>4</v>
      </c>
      <c r="D24" s="235" t="s">
        <v>41</v>
      </c>
      <c r="E24" s="231" t="s">
        <v>42</v>
      </c>
      <c r="F24" s="232">
        <v>11</v>
      </c>
      <c r="G24" s="275">
        <v>15</v>
      </c>
      <c r="H24" s="234">
        <v>4</v>
      </c>
      <c r="I24" s="231" t="s">
        <v>149</v>
      </c>
      <c r="J24" s="231" t="s">
        <v>150</v>
      </c>
      <c r="K24" s="232">
        <v>8</v>
      </c>
      <c r="L24" s="233">
        <v>12</v>
      </c>
      <c r="M24" s="236">
        <v>9</v>
      </c>
    </row>
    <row r="25" spans="2:13" ht="15" thickBot="1" x14ac:dyDescent="0.35">
      <c r="B25" s="237">
        <v>9</v>
      </c>
      <c r="C25" s="245">
        <v>4</v>
      </c>
      <c r="D25" s="239" t="s">
        <v>157</v>
      </c>
      <c r="E25" s="243" t="s">
        <v>158</v>
      </c>
      <c r="F25" s="240">
        <v>12</v>
      </c>
      <c r="G25" s="241">
        <v>17</v>
      </c>
      <c r="H25" s="242">
        <v>4</v>
      </c>
      <c r="I25" s="243" t="s">
        <v>151</v>
      </c>
      <c r="J25" s="243" t="s">
        <v>152</v>
      </c>
      <c r="K25" s="240">
        <v>9</v>
      </c>
      <c r="L25" s="241">
        <v>13</v>
      </c>
      <c r="M25" s="244">
        <v>9</v>
      </c>
    </row>
    <row r="36" spans="3:12" x14ac:dyDescent="0.3">
      <c r="I36" s="175" t="s">
        <v>366</v>
      </c>
      <c r="J36" s="175" t="s">
        <v>367</v>
      </c>
      <c r="L36" s="199">
        <v>3</v>
      </c>
    </row>
    <row r="37" spans="3:12" x14ac:dyDescent="0.3">
      <c r="C37" s="310"/>
      <c r="D37" s="310"/>
      <c r="E37" s="310"/>
      <c r="F37" s="310"/>
      <c r="G37" s="310"/>
      <c r="H37" s="310"/>
    </row>
    <row r="60" spans="3:3" x14ac:dyDescent="0.3">
      <c r="C60" s="276"/>
    </row>
  </sheetData>
  <autoFilter ref="C3:K33" xr:uid="{EBCC2CBD-898B-4CC2-96A9-05B4203CA713}"/>
  <mergeCells count="4">
    <mergeCell ref="D1:K1"/>
    <mergeCell ref="D2:G2"/>
    <mergeCell ref="I2:L2"/>
    <mergeCell ref="C37:H37"/>
  </mergeCells>
  <printOptions horizontalCentered="1"/>
  <pageMargins left="0.70866141732283472" right="0.70866141732283472" top="0.74803149606299213" bottom="0.74803149606299213" header="0.31496062992125984" footer="0.31496062992125984"/>
  <pageSetup scale="9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15CDF-41CD-4DB6-A061-3A3811B48DA5}">
  <sheetPr codeName="Hoja1"/>
  <dimension ref="A1:I203"/>
  <sheetViews>
    <sheetView topLeftCell="A32" zoomScale="142" workbookViewId="0">
      <selection activeCell="C34" sqref="C34:E34"/>
    </sheetView>
  </sheetViews>
  <sheetFormatPr baseColWidth="10" defaultColWidth="11.44140625" defaultRowHeight="14.4" outlineLevelCol="1" x14ac:dyDescent="0.3"/>
  <cols>
    <col min="1" max="1" width="14.44140625" bestFit="1" customWidth="1"/>
    <col min="2" max="2" width="10.77734375" bestFit="1" customWidth="1"/>
    <col min="3" max="3" width="11.6640625" bestFit="1" customWidth="1"/>
    <col min="4" max="4" width="21" bestFit="1" customWidth="1"/>
    <col min="5" max="5" width="17.33203125" bestFit="1" customWidth="1"/>
    <col min="6" max="6" width="12" style="9" bestFit="1" customWidth="1" outlineLevel="1"/>
    <col min="7" max="7" width="11.109375" bestFit="1" customWidth="1" outlineLevel="1"/>
    <col min="8" max="8" width="11" customWidth="1" outlineLevel="1"/>
    <col min="9" max="9" width="11.6640625" style="9" bestFit="1" customWidth="1"/>
  </cols>
  <sheetData>
    <row r="1" spans="1:9" ht="15.6" x14ac:dyDescent="0.3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8" t="s">
        <v>5</v>
      </c>
      <c r="G1" s="6" t="s">
        <v>6</v>
      </c>
      <c r="H1" s="6" t="s">
        <v>7</v>
      </c>
      <c r="I1" s="6" t="s">
        <v>8</v>
      </c>
    </row>
    <row r="2" spans="1:9" ht="15.6" x14ac:dyDescent="0.3">
      <c r="A2" s="34" t="s">
        <v>9</v>
      </c>
      <c r="C2" s="1">
        <v>10</v>
      </c>
      <c r="D2" s="2" t="s">
        <v>10</v>
      </c>
      <c r="E2" s="2" t="s">
        <v>11</v>
      </c>
      <c r="F2"/>
      <c r="G2" t="str">
        <f t="shared" ref="G2:G5" si="0">+IF(F2&lt;18.8,"Azul","Blanca")</f>
        <v>Azul</v>
      </c>
      <c r="H2" t="e">
        <f>IF(G2="Rojas",VLOOKUP(F2,#REF!,3,TRUE),IF(G2="Azul",VLOOKUP(F2,#REF!,3,TRUE),VLOOKUP(F2,#REF!,3,TRUE)))</f>
        <v>#REF!</v>
      </c>
      <c r="I2" s="9">
        <f>IFERROR(VLOOKUP(C2,Palmares!#REF!,4,FALSE),0)</f>
        <v>0</v>
      </c>
    </row>
    <row r="3" spans="1:9" ht="15.6" x14ac:dyDescent="0.3">
      <c r="A3" s="35" t="s">
        <v>9</v>
      </c>
      <c r="C3" s="36">
        <v>27802</v>
      </c>
      <c r="D3" s="2" t="s">
        <v>10</v>
      </c>
      <c r="E3" s="2" t="s">
        <v>12</v>
      </c>
      <c r="F3"/>
      <c r="G3" t="str">
        <f t="shared" si="0"/>
        <v>Azul</v>
      </c>
      <c r="H3" t="e">
        <f>IF(G3="Rojas",VLOOKUP(F3,#REF!,3,TRUE),IF(G3="Azul",VLOOKUP(F3,#REF!,3,TRUE),VLOOKUP(F3,#REF!,3,TRUE)))</f>
        <v>#REF!</v>
      </c>
      <c r="I3" s="9">
        <f>IFERROR(VLOOKUP(C3,Palmares!#REF!,4,FALSE),0)</f>
        <v>0</v>
      </c>
    </row>
    <row r="4" spans="1:9" ht="15.6" x14ac:dyDescent="0.3">
      <c r="A4" s="37" t="s">
        <v>9</v>
      </c>
      <c r="C4" s="1">
        <v>20092</v>
      </c>
      <c r="D4" s="2" t="s">
        <v>13</v>
      </c>
      <c r="E4" s="2" t="s">
        <v>14</v>
      </c>
      <c r="F4"/>
      <c r="G4" t="str">
        <f t="shared" si="0"/>
        <v>Azul</v>
      </c>
      <c r="H4" t="e">
        <f>IF(G4="Rojas",VLOOKUP(F4,#REF!,3,TRUE),IF(G4="Azul",VLOOKUP(F4,#REF!,3,TRUE),VLOOKUP(F4,#REF!,3,TRUE)))</f>
        <v>#REF!</v>
      </c>
      <c r="I4" s="9">
        <f>IFERROR(VLOOKUP(C4,Palmares!#REF!,4,FALSE),0)</f>
        <v>0</v>
      </c>
    </row>
    <row r="5" spans="1:9" ht="15.6" x14ac:dyDescent="0.3">
      <c r="A5" s="2" t="s">
        <v>9</v>
      </c>
      <c r="C5" s="1">
        <v>23512</v>
      </c>
      <c r="D5" s="2" t="s">
        <v>15</v>
      </c>
      <c r="E5" s="2" t="s">
        <v>16</v>
      </c>
      <c r="F5"/>
      <c r="G5" t="str">
        <f t="shared" si="0"/>
        <v>Azul</v>
      </c>
      <c r="H5" t="e">
        <f>IF(G5="Rojas",VLOOKUP(F5,#REF!,3,TRUE),IF(G5="Azul",VLOOKUP(F5,#REF!,3,TRUE),VLOOKUP(F5,#REF!,3,TRUE)))</f>
        <v>#REF!</v>
      </c>
      <c r="I5" s="9">
        <f>IFERROR(VLOOKUP(C5,Palmares!#REF!,4,FALSE),0)</f>
        <v>0</v>
      </c>
    </row>
    <row r="6" spans="1:9" ht="15.6" x14ac:dyDescent="0.3">
      <c r="A6" s="34" t="s">
        <v>17</v>
      </c>
      <c r="B6">
        <v>1</v>
      </c>
      <c r="C6" s="1">
        <v>28225</v>
      </c>
      <c r="D6" s="39" t="s">
        <v>222</v>
      </c>
      <c r="E6" s="2" t="s">
        <v>233</v>
      </c>
      <c r="F6" s="9">
        <v>12.2</v>
      </c>
      <c r="G6" t="str">
        <f>IF(A6="Damas","Rojas",IF(F6&lt;18.8,"Azul","Blanca"))</f>
        <v>Azul</v>
      </c>
      <c r="H6" t="e">
        <f>IF(G6="Rojas",VLOOKUP(F6,#REF!,3,TRUE),IF(G6="Azul",VLOOKUP(F6,#REF!,3,TRUE),VLOOKUP(F6,#REF!,3,TRUE)))</f>
        <v>#REF!</v>
      </c>
      <c r="I6" s="9">
        <f>IFERROR(VLOOKUP(C6,Palmares!#REF!,4,FALSE),0)</f>
        <v>0</v>
      </c>
    </row>
    <row r="7" spans="1:9" ht="15.6" x14ac:dyDescent="0.3">
      <c r="A7" s="35" t="s">
        <v>9</v>
      </c>
      <c r="C7" s="1">
        <v>283</v>
      </c>
      <c r="D7" s="2" t="s">
        <v>20</v>
      </c>
      <c r="E7" s="2" t="s">
        <v>21</v>
      </c>
      <c r="F7"/>
      <c r="G7" t="str">
        <f>+IF(F7&lt;18.8,"Azul","Blanca")</f>
        <v>Azul</v>
      </c>
      <c r="H7" t="e">
        <f>IF(G7="Rojas",VLOOKUP(F7,#REF!,3,TRUE),IF(G7="Azul",VLOOKUP(F7,#REF!,3,TRUE),VLOOKUP(F7,#REF!,3,TRUE)))</f>
        <v>#REF!</v>
      </c>
      <c r="I7" s="9">
        <f>IFERROR(VLOOKUP(C7,Palmares!#REF!,4,FALSE),0)</f>
        <v>0</v>
      </c>
    </row>
    <row r="8" spans="1:9" ht="15.6" x14ac:dyDescent="0.3">
      <c r="A8" s="35" t="s">
        <v>9</v>
      </c>
      <c r="C8" s="1">
        <v>22621</v>
      </c>
      <c r="D8" s="2" t="s">
        <v>22</v>
      </c>
      <c r="E8" s="2" t="s">
        <v>23</v>
      </c>
      <c r="F8"/>
      <c r="G8" t="str">
        <f>+IF(F8&lt;18.8,"Azul","Blanca")</f>
        <v>Azul</v>
      </c>
      <c r="H8" t="e">
        <f>IF(G8="Rojas",VLOOKUP(F8,#REF!,3,TRUE),IF(G8="Azul",VLOOKUP(F8,#REF!,3,TRUE),VLOOKUP(F8,#REF!,3,TRUE)))</f>
        <v>#REF!</v>
      </c>
      <c r="I8" s="9">
        <f>IFERROR(VLOOKUP(C8,Palmares!#REF!,4,FALSE),0)</f>
        <v>0</v>
      </c>
    </row>
    <row r="9" spans="1:9" ht="15.6" x14ac:dyDescent="0.3">
      <c r="A9" s="35" t="s">
        <v>9</v>
      </c>
      <c r="C9" s="1">
        <v>403</v>
      </c>
      <c r="D9" s="2" t="s">
        <v>24</v>
      </c>
      <c r="E9" s="2" t="s">
        <v>25</v>
      </c>
      <c r="F9"/>
      <c r="G9" t="str">
        <f>+IF(F9&lt;18.8,"Azul","Blanca")</f>
        <v>Azul</v>
      </c>
      <c r="H9" t="e">
        <f>IF(G9="Rojas",VLOOKUP(F9,#REF!,3,TRUE),IF(G9="Azul",VLOOKUP(F9,#REF!,3,TRUE),VLOOKUP(F9,#REF!,3,TRUE)))</f>
        <v>#REF!</v>
      </c>
      <c r="I9" s="9">
        <f>IFERROR(VLOOKUP(C9,Palmares!#REF!,4,FALSE),0)</f>
        <v>0</v>
      </c>
    </row>
    <row r="10" spans="1:9" ht="15.6" x14ac:dyDescent="0.3">
      <c r="A10" s="35" t="s">
        <v>17</v>
      </c>
      <c r="C10" s="1">
        <v>36282</v>
      </c>
      <c r="D10" s="2" t="s">
        <v>26</v>
      </c>
      <c r="E10" s="2" t="s">
        <v>27</v>
      </c>
      <c r="F10" s="9">
        <v>35.700000000000003</v>
      </c>
      <c r="G10" t="str">
        <f>+IF(F10&lt;18.8,"Azul","Blanca")</f>
        <v>Blanca</v>
      </c>
      <c r="H10" t="e">
        <f>IF(G10="Rojas",VLOOKUP(F10,#REF!,3,TRUE),IF(G10="Azul",VLOOKUP(F10,#REF!,3,TRUE),VLOOKUP(F10,#REF!,3,TRUE)))</f>
        <v>#REF!</v>
      </c>
      <c r="I10" s="9">
        <f>IFERROR(VLOOKUP(C10,Palmares!#REF!,4,FALSE),0)</f>
        <v>0</v>
      </c>
    </row>
    <row r="11" spans="1:9" ht="15.6" x14ac:dyDescent="0.3">
      <c r="A11" s="35" t="s">
        <v>17</v>
      </c>
      <c r="B11">
        <v>1</v>
      </c>
      <c r="C11" s="1">
        <v>14448</v>
      </c>
      <c r="D11" s="39" t="s">
        <v>18</v>
      </c>
      <c r="E11" s="2" t="s">
        <v>19</v>
      </c>
      <c r="F11" s="9">
        <v>13.4</v>
      </c>
      <c r="G11" t="str">
        <f>IF(A11="Damas","Rojas",IF(F11&lt;18.8,"Azul","Blanca"))</f>
        <v>Azul</v>
      </c>
      <c r="H11" t="e">
        <f>IF(G11="Rojas",VLOOKUP(F11,#REF!,3,TRUE),IF(G11="Azul",VLOOKUP(F11,#REF!,3,TRUE),VLOOKUP(F11,#REF!,3,TRUE)))</f>
        <v>#REF!</v>
      </c>
      <c r="I11" s="9">
        <f>IFERROR(VLOOKUP(C11,Palmares!#REF!,4,FALSE),0)</f>
        <v>0</v>
      </c>
    </row>
    <row r="12" spans="1:9" ht="15.6" x14ac:dyDescent="0.3">
      <c r="A12" s="35" t="s">
        <v>9</v>
      </c>
      <c r="C12" s="1">
        <v>23513</v>
      </c>
      <c r="D12" s="2" t="s">
        <v>30</v>
      </c>
      <c r="E12" s="2" t="s">
        <v>31</v>
      </c>
      <c r="F12"/>
      <c r="G12" t="str">
        <f t="shared" ref="G12:G20" si="1">+IF(F12&lt;18.8,"Azul","Blanca")</f>
        <v>Azul</v>
      </c>
      <c r="H12" t="e">
        <f>IF(G12="Rojas",VLOOKUP(F12,#REF!,3,TRUE),IF(G12="Azul",VLOOKUP(F12,#REF!,3,TRUE),VLOOKUP(F12,#REF!,3,TRUE)))</f>
        <v>#REF!</v>
      </c>
      <c r="I12" s="9">
        <f>IFERROR(VLOOKUP(C12,Palmares!#REF!,4,FALSE),0)</f>
        <v>0</v>
      </c>
    </row>
    <row r="13" spans="1:9" ht="15.6" x14ac:dyDescent="0.3">
      <c r="A13" s="35" t="s">
        <v>9</v>
      </c>
      <c r="C13" s="1">
        <v>480</v>
      </c>
      <c r="D13" s="2" t="s">
        <v>30</v>
      </c>
      <c r="E13" s="2" t="s">
        <v>32</v>
      </c>
      <c r="F13"/>
      <c r="G13" t="str">
        <f t="shared" si="1"/>
        <v>Azul</v>
      </c>
      <c r="H13" t="e">
        <f>IF(G13="Rojas",VLOOKUP(F13,#REF!,3,TRUE),IF(G13="Azul",VLOOKUP(F13,#REF!,3,TRUE),VLOOKUP(F13,#REF!,3,TRUE)))</f>
        <v>#REF!</v>
      </c>
      <c r="I13" s="9">
        <f>IFERROR(VLOOKUP(C13,Palmares!#REF!,4,FALSE),0)</f>
        <v>0</v>
      </c>
    </row>
    <row r="14" spans="1:9" ht="15.6" x14ac:dyDescent="0.3">
      <c r="A14" s="35" t="s">
        <v>9</v>
      </c>
      <c r="C14" s="1">
        <v>7243</v>
      </c>
      <c r="D14" s="2" t="s">
        <v>33</v>
      </c>
      <c r="E14" s="2" t="s">
        <v>34</v>
      </c>
      <c r="F14"/>
      <c r="G14" t="str">
        <f t="shared" si="1"/>
        <v>Azul</v>
      </c>
      <c r="H14" t="e">
        <f>IF(G14="Rojas",VLOOKUP(F14,#REF!,3,TRUE),IF(G14="Azul",VLOOKUP(F14,#REF!,3,TRUE),VLOOKUP(F14,#REF!,3,TRUE)))</f>
        <v>#REF!</v>
      </c>
      <c r="I14" s="9">
        <f>IFERROR(VLOOKUP(C14,Palmares!#REF!,4,FALSE),0)</f>
        <v>0</v>
      </c>
    </row>
    <row r="15" spans="1:9" ht="15.6" x14ac:dyDescent="0.3">
      <c r="A15" s="35" t="s">
        <v>9</v>
      </c>
      <c r="C15" s="1">
        <v>633</v>
      </c>
      <c r="D15" s="2" t="s">
        <v>35</v>
      </c>
      <c r="E15" s="2" t="s">
        <v>36</v>
      </c>
      <c r="F15"/>
      <c r="G15" t="str">
        <f t="shared" si="1"/>
        <v>Azul</v>
      </c>
      <c r="H15" t="e">
        <f>IF(G15="Rojas",VLOOKUP(F15,#REF!,3,TRUE),IF(G15="Azul",VLOOKUP(F15,#REF!,3,TRUE),VLOOKUP(F15,#REF!,3,TRUE)))</f>
        <v>#REF!</v>
      </c>
      <c r="I15" s="9">
        <f>IFERROR(VLOOKUP(C15,Palmares!#REF!,4,FALSE),0)</f>
        <v>0</v>
      </c>
    </row>
    <row r="16" spans="1:9" ht="15.6" x14ac:dyDescent="0.3">
      <c r="A16" s="35" t="s">
        <v>9</v>
      </c>
      <c r="C16" s="1">
        <v>27654</v>
      </c>
      <c r="D16" s="2" t="s">
        <v>37</v>
      </c>
      <c r="E16" s="2" t="s">
        <v>38</v>
      </c>
      <c r="F16"/>
      <c r="G16" t="str">
        <f t="shared" si="1"/>
        <v>Azul</v>
      </c>
      <c r="H16" t="e">
        <f>IF(G16="Rojas",VLOOKUP(F16,#REF!,3,TRUE),IF(G16="Azul",VLOOKUP(F16,#REF!,3,TRUE),VLOOKUP(F16,#REF!,3,TRUE)))</f>
        <v>#REF!</v>
      </c>
      <c r="I16" s="9">
        <f>IFERROR(VLOOKUP(C16,Palmares!#REF!,4,FALSE),0)</f>
        <v>0</v>
      </c>
    </row>
    <row r="17" spans="1:9" ht="15.6" x14ac:dyDescent="0.3">
      <c r="A17" s="35" t="s">
        <v>17</v>
      </c>
      <c r="C17" s="3">
        <v>479</v>
      </c>
      <c r="D17" s="2" t="s">
        <v>274</v>
      </c>
      <c r="E17" s="2" t="s">
        <v>275</v>
      </c>
      <c r="F17" s="9">
        <v>27.5</v>
      </c>
      <c r="G17" t="str">
        <f t="shared" si="1"/>
        <v>Blanca</v>
      </c>
      <c r="H17" t="e">
        <f>IF(G17="Rojas",VLOOKUP(F17,#REF!,3,TRUE),IF(G17="Azul",VLOOKUP(F17,#REF!,3,TRUE),VLOOKUP(F17,#REF!,3,TRUE)))</f>
        <v>#REF!</v>
      </c>
      <c r="I17" s="9">
        <f>IFERROR(VLOOKUP(C17,Palmares!#REF!,4,FALSE),0)</f>
        <v>0</v>
      </c>
    </row>
    <row r="18" spans="1:9" ht="15.6" x14ac:dyDescent="0.3">
      <c r="A18" s="35" t="s">
        <v>9</v>
      </c>
      <c r="C18" s="1">
        <v>25160</v>
      </c>
      <c r="D18" s="2" t="s">
        <v>41</v>
      </c>
      <c r="E18" s="2" t="s">
        <v>42</v>
      </c>
      <c r="F18"/>
      <c r="G18" t="str">
        <f t="shared" si="1"/>
        <v>Azul</v>
      </c>
      <c r="H18" t="e">
        <f>IF(G18="Rojas",VLOOKUP(F18,#REF!,3,TRUE),IF(G18="Azul",VLOOKUP(F18,#REF!,3,TRUE),VLOOKUP(F18,#REF!,3,TRUE)))</f>
        <v>#REF!</v>
      </c>
      <c r="I18" s="9">
        <f>IFERROR(VLOOKUP(C18,Palmares!#REF!,4,FALSE),0)</f>
        <v>0</v>
      </c>
    </row>
    <row r="19" spans="1:9" ht="15.6" x14ac:dyDescent="0.3">
      <c r="A19" s="35" t="s">
        <v>9</v>
      </c>
      <c r="C19" s="1">
        <v>17295</v>
      </c>
      <c r="D19" s="2" t="s">
        <v>43</v>
      </c>
      <c r="E19" s="2" t="s">
        <v>44</v>
      </c>
      <c r="F19"/>
      <c r="G19" t="str">
        <f t="shared" si="1"/>
        <v>Azul</v>
      </c>
      <c r="H19" t="e">
        <f>IF(G19="Rojas",VLOOKUP(F19,#REF!,3,TRUE),IF(G19="Azul",VLOOKUP(F19,#REF!,3,TRUE),VLOOKUP(F19,#REF!,3,TRUE)))</f>
        <v>#REF!</v>
      </c>
      <c r="I19" s="9">
        <f>IFERROR(VLOOKUP(C19,Palmares!#REF!,4,FALSE),0)</f>
        <v>0</v>
      </c>
    </row>
    <row r="20" spans="1:9" ht="15.6" x14ac:dyDescent="0.3">
      <c r="A20" s="35" t="s">
        <v>9</v>
      </c>
      <c r="C20" s="1">
        <v>24562</v>
      </c>
      <c r="D20" s="2" t="s">
        <v>45</v>
      </c>
      <c r="E20" s="2" t="s">
        <v>46</v>
      </c>
      <c r="F20"/>
      <c r="G20" t="str">
        <f t="shared" si="1"/>
        <v>Azul</v>
      </c>
      <c r="H20" t="e">
        <f>IF(G20="Rojas",VLOOKUP(F20,#REF!,3,TRUE),IF(G20="Azul",VLOOKUP(F20,#REF!,3,TRUE),VLOOKUP(F20,#REF!,3,TRUE)))</f>
        <v>#REF!</v>
      </c>
      <c r="I20" s="9">
        <f>IFERROR(VLOOKUP(C20,Palmares!#REF!,4,FALSE),0)</f>
        <v>0</v>
      </c>
    </row>
    <row r="21" spans="1:9" ht="15.6" x14ac:dyDescent="0.3">
      <c r="A21" s="35" t="s">
        <v>17</v>
      </c>
      <c r="B21">
        <v>1</v>
      </c>
      <c r="C21" s="1">
        <v>17043</v>
      </c>
      <c r="D21" s="39" t="s">
        <v>118</v>
      </c>
      <c r="E21" s="2" t="s">
        <v>119</v>
      </c>
      <c r="F21" s="9">
        <v>16.3</v>
      </c>
      <c r="G21" t="str">
        <f>IF(A21="Damas","Rojas",IF(F21&lt;18.8,"Azul","Blanca"))</f>
        <v>Azul</v>
      </c>
      <c r="H21" t="e">
        <f>IF(G21="Rojas",VLOOKUP(F21,#REF!,3,TRUE),IF(G21="Azul",VLOOKUP(F21,#REF!,3,TRUE),VLOOKUP(F21,#REF!,3,TRUE)))</f>
        <v>#REF!</v>
      </c>
      <c r="I21" s="9">
        <f>IFERROR(VLOOKUP(C21,Palmares!#REF!,4,FALSE),0)</f>
        <v>0</v>
      </c>
    </row>
    <row r="22" spans="1:9" ht="15.6" x14ac:dyDescent="0.3">
      <c r="A22" s="35" t="s">
        <v>9</v>
      </c>
      <c r="C22" s="3">
        <v>927</v>
      </c>
      <c r="D22" s="2" t="s">
        <v>49</v>
      </c>
      <c r="E22" s="2" t="s">
        <v>50</v>
      </c>
      <c r="F22"/>
      <c r="G22" t="str">
        <f>+IF(F22&lt;18.8,"Azul","Blanca")</f>
        <v>Azul</v>
      </c>
      <c r="H22" t="e">
        <f>IF(G22="Rojas",VLOOKUP(F22,#REF!,3,TRUE),IF(G22="Azul",VLOOKUP(F22,#REF!,3,TRUE),VLOOKUP(F22,#REF!,3,TRUE)))</f>
        <v>#REF!</v>
      </c>
      <c r="I22" s="9">
        <f>IFERROR(VLOOKUP(C22,Palmares!#REF!,4,FALSE),0)</f>
        <v>0</v>
      </c>
    </row>
    <row r="23" spans="1:9" ht="15.6" x14ac:dyDescent="0.3">
      <c r="A23" s="35" t="s">
        <v>51</v>
      </c>
      <c r="B23">
        <v>1</v>
      </c>
      <c r="C23" s="1">
        <v>18861</v>
      </c>
      <c r="D23" s="39" t="s">
        <v>351</v>
      </c>
      <c r="E23" s="2" t="s">
        <v>352</v>
      </c>
      <c r="F23" s="9">
        <v>18.600000000000001</v>
      </c>
      <c r="G23" t="str">
        <f>IF(A23="Damas","Rojas",IF(F23&lt;18.8,"Azul","Blanca"))</f>
        <v>Rojas</v>
      </c>
      <c r="H23" t="e">
        <f>IF(G23="Rojas",VLOOKUP(F23,#REF!,3,TRUE),IF(G23="Azul",VLOOKUP(F23,#REF!,3,TRUE),VLOOKUP(F23,#REF!,3,TRUE)))</f>
        <v>#REF!</v>
      </c>
      <c r="I23" s="9">
        <f>IFERROR(VLOOKUP(C23,Palmares!#REF!,4,FALSE),0)</f>
        <v>0</v>
      </c>
    </row>
    <row r="24" spans="1:9" ht="15.6" x14ac:dyDescent="0.3">
      <c r="A24" s="35" t="s">
        <v>9</v>
      </c>
      <c r="C24" s="1">
        <v>15665</v>
      </c>
      <c r="D24" s="2" t="s">
        <v>54</v>
      </c>
      <c r="E24" s="2" t="s">
        <v>55</v>
      </c>
      <c r="F24"/>
      <c r="G24" t="str">
        <f>+IF(F24&lt;18.8,"Azul","Blanca")</f>
        <v>Azul</v>
      </c>
      <c r="H24" t="e">
        <f>IF(G24="Rojas",VLOOKUP(F24,#REF!,3,TRUE),IF(G24="Azul",VLOOKUP(F24,#REF!,3,TRUE),VLOOKUP(F24,#REF!,3,TRUE)))</f>
        <v>#REF!</v>
      </c>
      <c r="I24" s="9">
        <f>IFERROR(VLOOKUP(C24,Palmares!#REF!,4,FALSE),0)</f>
        <v>0</v>
      </c>
    </row>
    <row r="25" spans="1:9" ht="15.6" x14ac:dyDescent="0.3">
      <c r="A25" s="35" t="s">
        <v>9</v>
      </c>
      <c r="C25" s="1">
        <v>15296</v>
      </c>
      <c r="D25" s="2" t="s">
        <v>56</v>
      </c>
      <c r="E25" s="2" t="s">
        <v>57</v>
      </c>
      <c r="F25"/>
      <c r="G25" t="str">
        <f>+IF(F25&lt;18.8,"Azul","Blanca")</f>
        <v>Azul</v>
      </c>
      <c r="H25" t="e">
        <f>IF(G25="Rojas",VLOOKUP(F25,#REF!,3,TRUE),IF(G25="Azul",VLOOKUP(F25,#REF!,3,TRUE),VLOOKUP(F25,#REF!,3,TRUE)))</f>
        <v>#REF!</v>
      </c>
      <c r="I25" s="9">
        <f>IFERROR(VLOOKUP(C25,Palmares!#REF!,4,FALSE),0)</f>
        <v>0</v>
      </c>
    </row>
    <row r="26" spans="1:9" ht="15.6" x14ac:dyDescent="0.3">
      <c r="A26" s="35" t="s">
        <v>17</v>
      </c>
      <c r="C26" s="1">
        <v>15107</v>
      </c>
      <c r="D26" s="2" t="s">
        <v>153</v>
      </c>
      <c r="E26" s="2" t="s">
        <v>154</v>
      </c>
      <c r="F26" s="9">
        <v>14</v>
      </c>
      <c r="G26" t="str">
        <f>IF(A26="Damas","Rojas",IF(F26&lt;18.8,"Azul","Blanca"))</f>
        <v>Azul</v>
      </c>
      <c r="H26" t="e">
        <f>IF(G26="Rojas",VLOOKUP(F26,#REF!,3,TRUE),IF(G26="Azul",VLOOKUP(F26,#REF!,3,TRUE),VLOOKUP(F26,#REF!,3,TRUE)))</f>
        <v>#REF!</v>
      </c>
      <c r="I26" s="9">
        <f>IFERROR(VLOOKUP(C26,Palmares!#REF!,4,FALSE),0)</f>
        <v>0</v>
      </c>
    </row>
    <row r="27" spans="1:9" ht="15.6" x14ac:dyDescent="0.3">
      <c r="A27" s="35" t="s">
        <v>9</v>
      </c>
      <c r="C27" s="1">
        <v>23146</v>
      </c>
      <c r="D27" s="2" t="s">
        <v>60</v>
      </c>
      <c r="E27" s="2" t="s">
        <v>61</v>
      </c>
      <c r="F27"/>
      <c r="G27" t="str">
        <f t="shared" ref="G27:G38" si="2">+IF(F27&lt;18.8,"Azul","Blanca")</f>
        <v>Azul</v>
      </c>
      <c r="H27" t="e">
        <f>IF(G27="Rojas",VLOOKUP(F27,#REF!,3,TRUE),IF(G27="Azul",VLOOKUP(F27,#REF!,3,TRUE),VLOOKUP(F27,#REF!,3,TRUE)))</f>
        <v>#REF!</v>
      </c>
      <c r="I27" s="9">
        <f>IFERROR(VLOOKUP(C27,Palmares!#REF!,4,FALSE),0)</f>
        <v>0</v>
      </c>
    </row>
    <row r="28" spans="1:9" ht="15.6" x14ac:dyDescent="0.3">
      <c r="A28" s="35" t="s">
        <v>9</v>
      </c>
      <c r="C28" s="1">
        <v>1461</v>
      </c>
      <c r="D28" s="2" t="s">
        <v>62</v>
      </c>
      <c r="E28" s="2" t="s">
        <v>63</v>
      </c>
      <c r="F28"/>
      <c r="G28" t="str">
        <f t="shared" si="2"/>
        <v>Azul</v>
      </c>
      <c r="H28" t="e">
        <f>IF(G28="Rojas",VLOOKUP(F28,#REF!,3,TRUE),IF(G28="Azul",VLOOKUP(F28,#REF!,3,TRUE),VLOOKUP(F28,#REF!,3,TRUE)))</f>
        <v>#REF!</v>
      </c>
      <c r="I28" s="9">
        <f>IFERROR(VLOOKUP(C28,Palmares!#REF!,4,FALSE),0)</f>
        <v>0</v>
      </c>
    </row>
    <row r="29" spans="1:9" ht="15.6" x14ac:dyDescent="0.3">
      <c r="A29" s="37" t="s">
        <v>9</v>
      </c>
      <c r="C29" s="1">
        <v>18473</v>
      </c>
      <c r="D29" s="2" t="s">
        <v>64</v>
      </c>
      <c r="E29" s="2" t="s">
        <v>65</v>
      </c>
      <c r="F29"/>
      <c r="G29" t="str">
        <f t="shared" si="2"/>
        <v>Azul</v>
      </c>
      <c r="H29" t="e">
        <f>IF(G29="Rojas",VLOOKUP(F29,#REF!,3,TRUE),IF(G29="Azul",VLOOKUP(F29,#REF!,3,TRUE),VLOOKUP(F29,#REF!,3,TRUE)))</f>
        <v>#REF!</v>
      </c>
      <c r="I29" s="9">
        <f>IFERROR(VLOOKUP(C29,Palmares!#REF!,4,FALSE),0)</f>
        <v>0</v>
      </c>
    </row>
    <row r="30" spans="1:9" ht="15.6" x14ac:dyDescent="0.3">
      <c r="A30" s="2" t="s">
        <v>17</v>
      </c>
      <c r="C30" s="1">
        <v>1396</v>
      </c>
      <c r="D30" s="2" t="s">
        <v>66</v>
      </c>
      <c r="E30" s="2" t="s">
        <v>67</v>
      </c>
      <c r="F30" s="9">
        <v>18.7</v>
      </c>
      <c r="G30" t="str">
        <f t="shared" si="2"/>
        <v>Azul</v>
      </c>
      <c r="H30" t="e">
        <f>IF(G30="Rojas",VLOOKUP(F30,#REF!,3,TRUE),IF(G30="Azul",VLOOKUP(F30,#REF!,3,TRUE),VLOOKUP(F30,#REF!,3,TRUE)))</f>
        <v>#REF!</v>
      </c>
      <c r="I30" s="9">
        <f>IFERROR(VLOOKUP(C30,Palmares!#REF!,4,FALSE),0)</f>
        <v>0</v>
      </c>
    </row>
    <row r="31" spans="1:9" ht="15.6" x14ac:dyDescent="0.3">
      <c r="A31" s="34" t="s">
        <v>9</v>
      </c>
      <c r="C31" s="1">
        <v>1935</v>
      </c>
      <c r="D31" s="2" t="s">
        <v>68</v>
      </c>
      <c r="E31" s="2" t="s">
        <v>69</v>
      </c>
      <c r="F31"/>
      <c r="G31" t="str">
        <f t="shared" si="2"/>
        <v>Azul</v>
      </c>
      <c r="H31" t="e">
        <f>IF(G31="Rojas",VLOOKUP(F31,#REF!,3,TRUE),IF(G31="Azul",VLOOKUP(F31,#REF!,3,TRUE),VLOOKUP(F31,#REF!,3,TRUE)))</f>
        <v>#REF!</v>
      </c>
      <c r="I31" s="9">
        <f>IFERROR(VLOOKUP(C31,Palmares!#REF!,4,FALSE),0)</f>
        <v>0</v>
      </c>
    </row>
    <row r="32" spans="1:9" ht="15.6" x14ac:dyDescent="0.3">
      <c r="A32" s="35" t="s">
        <v>9</v>
      </c>
      <c r="C32" s="1">
        <v>28272</v>
      </c>
      <c r="D32" s="2" t="s">
        <v>70</v>
      </c>
      <c r="E32" s="2" t="s">
        <v>71</v>
      </c>
      <c r="F32"/>
      <c r="G32" t="str">
        <f t="shared" si="2"/>
        <v>Azul</v>
      </c>
      <c r="H32" t="e">
        <f>IF(G32="Rojas",VLOOKUP(F32,#REF!,3,TRUE),IF(G32="Azul",VLOOKUP(F32,#REF!,3,TRUE),VLOOKUP(F32,#REF!,3,TRUE)))</f>
        <v>#REF!</v>
      </c>
      <c r="I32" s="9">
        <f>IFERROR(VLOOKUP(C32,Palmares!#REF!,4,FALSE),0)</f>
        <v>0</v>
      </c>
    </row>
    <row r="33" spans="1:9" ht="15.6" x14ac:dyDescent="0.3">
      <c r="A33" s="35" t="s">
        <v>17</v>
      </c>
      <c r="C33" s="3">
        <v>32757</v>
      </c>
      <c r="D33" s="2" t="s">
        <v>82</v>
      </c>
      <c r="E33" s="2" t="s">
        <v>83</v>
      </c>
      <c r="F33" s="9">
        <v>17.7</v>
      </c>
      <c r="G33" t="str">
        <f t="shared" si="2"/>
        <v>Azul</v>
      </c>
      <c r="H33" t="e">
        <f>IF(G33="Rojas",VLOOKUP(F33,#REF!,3,TRUE),IF(G33="Azul",VLOOKUP(F33,#REF!,3,TRUE),VLOOKUP(F33,#REF!,3,TRUE)))</f>
        <v>#REF!</v>
      </c>
      <c r="I33" s="9">
        <f>IFERROR(VLOOKUP(C33,Palmares!#REF!,4,FALSE),0)</f>
        <v>0</v>
      </c>
    </row>
    <row r="34" spans="1:9" ht="15.6" x14ac:dyDescent="0.3">
      <c r="A34" s="35" t="s">
        <v>9</v>
      </c>
      <c r="C34" s="4">
        <v>24768</v>
      </c>
      <c r="D34" s="5" t="s">
        <v>73</v>
      </c>
      <c r="E34" s="5" t="s">
        <v>74</v>
      </c>
      <c r="F34"/>
      <c r="G34" t="str">
        <f t="shared" si="2"/>
        <v>Azul</v>
      </c>
      <c r="H34" t="e">
        <f>IF(G34="Rojas",VLOOKUP(F34,#REF!,3,TRUE),IF(G34="Azul",VLOOKUP(F34,#REF!,3,TRUE),VLOOKUP(F34,#REF!,3,TRUE)))</f>
        <v>#REF!</v>
      </c>
      <c r="I34" s="9">
        <f>IFERROR(VLOOKUP(C34,Palmares!#REF!,4,FALSE),0)</f>
        <v>0</v>
      </c>
    </row>
    <row r="35" spans="1:9" ht="15.6" x14ac:dyDescent="0.3">
      <c r="A35" s="35" t="s">
        <v>9</v>
      </c>
      <c r="C35" s="1">
        <v>24736</v>
      </c>
      <c r="D35" s="2" t="s">
        <v>73</v>
      </c>
      <c r="E35" s="2" t="s">
        <v>75</v>
      </c>
      <c r="F35"/>
      <c r="G35" t="str">
        <f t="shared" si="2"/>
        <v>Azul</v>
      </c>
      <c r="H35" t="e">
        <f>IF(G35="Rojas",VLOOKUP(F35,#REF!,3,TRUE),IF(G35="Azul",VLOOKUP(F35,#REF!,3,TRUE),VLOOKUP(F35,#REF!,3,TRUE)))</f>
        <v>#REF!</v>
      </c>
      <c r="I35" s="9">
        <f>IFERROR(VLOOKUP(C35,Palmares!#REF!,4,FALSE),0)</f>
        <v>0</v>
      </c>
    </row>
    <row r="36" spans="1:9" ht="15.6" x14ac:dyDescent="0.3">
      <c r="A36" s="35" t="s">
        <v>9</v>
      </c>
      <c r="C36" s="1">
        <v>1995</v>
      </c>
      <c r="D36" s="2" t="s">
        <v>76</v>
      </c>
      <c r="E36" s="2" t="s">
        <v>77</v>
      </c>
      <c r="F36"/>
      <c r="G36" t="str">
        <f t="shared" si="2"/>
        <v>Azul</v>
      </c>
      <c r="H36" t="e">
        <f>IF(G36="Rojas",VLOOKUP(F36,#REF!,3,TRUE),IF(G36="Azul",VLOOKUP(F36,#REF!,3,TRUE),VLOOKUP(F36,#REF!,3,TRUE)))</f>
        <v>#REF!</v>
      </c>
      <c r="I36" s="9">
        <f>IFERROR(VLOOKUP(C36,Palmares!#REF!,4,FALSE),0)</f>
        <v>0</v>
      </c>
    </row>
    <row r="37" spans="1:9" ht="15.6" x14ac:dyDescent="0.3">
      <c r="A37" s="35" t="s">
        <v>9</v>
      </c>
      <c r="C37" s="1">
        <v>28577</v>
      </c>
      <c r="D37" s="2" t="s">
        <v>78</v>
      </c>
      <c r="E37" s="2" t="s">
        <v>79</v>
      </c>
      <c r="F37"/>
      <c r="G37" t="str">
        <f t="shared" si="2"/>
        <v>Azul</v>
      </c>
      <c r="H37" t="e">
        <f>IF(G37="Rojas",VLOOKUP(F37,#REF!,3,TRUE),IF(G37="Azul",VLOOKUP(F37,#REF!,3,TRUE),VLOOKUP(F37,#REF!,3,TRUE)))</f>
        <v>#REF!</v>
      </c>
      <c r="I37" s="9">
        <f>IFERROR(VLOOKUP(C37,Palmares!#REF!,4,FALSE),0)</f>
        <v>0</v>
      </c>
    </row>
    <row r="38" spans="1:9" ht="15.6" x14ac:dyDescent="0.3">
      <c r="A38" s="35" t="s">
        <v>9</v>
      </c>
      <c r="C38" s="1">
        <v>24474</v>
      </c>
      <c r="D38" s="2" t="s">
        <v>80</v>
      </c>
      <c r="E38" s="2" t="s">
        <v>81</v>
      </c>
      <c r="F38"/>
      <c r="G38" t="str">
        <f t="shared" si="2"/>
        <v>Azul</v>
      </c>
      <c r="H38" t="e">
        <f>IF(G38="Rojas",VLOOKUP(F38,#REF!,3,TRUE),IF(G38="Azul",VLOOKUP(F38,#REF!,3,TRUE),VLOOKUP(F38,#REF!,3,TRUE)))</f>
        <v>#REF!</v>
      </c>
      <c r="I38" s="9">
        <f>IFERROR(VLOOKUP(C38,Palmares!#REF!,4,FALSE),0)</f>
        <v>0</v>
      </c>
    </row>
    <row r="39" spans="1:9" ht="15.6" x14ac:dyDescent="0.3">
      <c r="A39" s="35" t="s">
        <v>17</v>
      </c>
      <c r="C39" s="1">
        <v>30377</v>
      </c>
      <c r="D39" s="2" t="s">
        <v>72</v>
      </c>
      <c r="E39" s="2" t="s">
        <v>71</v>
      </c>
      <c r="F39" s="9">
        <v>17.100000000000001</v>
      </c>
      <c r="G39" t="str">
        <f>IF(A39="Damas","Rojas",IF(F39&lt;18.8,"Azul","Blanca"))</f>
        <v>Azul</v>
      </c>
      <c r="H39" t="e">
        <f>IF(G39="Rojas",VLOOKUP(F39,#REF!,3,TRUE),IF(G39="Azul",VLOOKUP(F39,#REF!,3,TRUE),VLOOKUP(F39,#REF!,3,TRUE)))</f>
        <v>#REF!</v>
      </c>
      <c r="I39" s="9">
        <f>IFERROR(VLOOKUP(C39,Palmares!#REF!,4,FALSE),0)</f>
        <v>0</v>
      </c>
    </row>
    <row r="40" spans="1:9" ht="15.6" x14ac:dyDescent="0.3">
      <c r="A40" s="35" t="s">
        <v>9</v>
      </c>
      <c r="C40" s="1">
        <v>17697</v>
      </c>
      <c r="D40" s="2" t="s">
        <v>84</v>
      </c>
      <c r="E40" s="2" t="s">
        <v>85</v>
      </c>
      <c r="F40"/>
      <c r="G40" t="str">
        <f>+IF(F40&lt;18.8,"Azul","Blanca")</f>
        <v>Azul</v>
      </c>
      <c r="H40" t="e">
        <f>IF(G40="Rojas",VLOOKUP(F40,#REF!,3,TRUE),IF(G40="Azul",VLOOKUP(F40,#REF!,3,TRUE),VLOOKUP(F40,#REF!,3,TRUE)))</f>
        <v>#REF!</v>
      </c>
      <c r="I40" s="9">
        <f>IFERROR(VLOOKUP(C40,Palmares!#REF!,4,FALSE),0)</f>
        <v>0</v>
      </c>
    </row>
    <row r="41" spans="1:9" ht="15.6" x14ac:dyDescent="0.3">
      <c r="A41" s="35" t="s">
        <v>9</v>
      </c>
      <c r="C41" s="4">
        <v>22618</v>
      </c>
      <c r="D41" s="5" t="s">
        <v>86</v>
      </c>
      <c r="E41" s="5" t="s">
        <v>87</v>
      </c>
      <c r="F41"/>
      <c r="G41" t="str">
        <f>+IF(F41&lt;18.8,"Azul","Blanca")</f>
        <v>Azul</v>
      </c>
      <c r="H41" t="e">
        <f>IF(G41="Rojas",VLOOKUP(F41,#REF!,3,TRUE),IF(G41="Azul",VLOOKUP(F41,#REF!,3,TRUE),VLOOKUP(F41,#REF!,3,TRUE)))</f>
        <v>#REF!</v>
      </c>
      <c r="I41" s="9">
        <f>IFERROR(VLOOKUP(C41,Palmares!#REF!,4,FALSE),0)</f>
        <v>0</v>
      </c>
    </row>
    <row r="42" spans="1:9" ht="15.6" x14ac:dyDescent="0.3">
      <c r="A42" s="37" t="s">
        <v>17</v>
      </c>
      <c r="C42" s="1">
        <v>2193</v>
      </c>
      <c r="D42" s="2" t="s">
        <v>84</v>
      </c>
      <c r="E42" s="2" t="s">
        <v>88</v>
      </c>
      <c r="F42" s="16">
        <v>15.1</v>
      </c>
      <c r="G42" t="str">
        <f>IF(A42="Damas","Rojas",IF(F42&lt;18.8,"Azul","Blanca"))</f>
        <v>Azul</v>
      </c>
      <c r="H42" t="e">
        <f>IF(G42="Rojas",VLOOKUP(F42,#REF!,3,TRUE),IF(G42="Azul",VLOOKUP(F42,#REF!,3,TRUE),VLOOKUP(F42,#REF!,3,TRUE)))</f>
        <v>#REF!</v>
      </c>
      <c r="I42" s="9">
        <f>IFERROR(VLOOKUP(C42,Palmares!#REF!,4,FALSE),0)</f>
        <v>0</v>
      </c>
    </row>
    <row r="43" spans="1:9" ht="15.6" x14ac:dyDescent="0.3">
      <c r="A43" s="2" t="s">
        <v>9</v>
      </c>
      <c r="C43" s="1">
        <v>2217</v>
      </c>
      <c r="D43" s="2" t="s">
        <v>89</v>
      </c>
      <c r="E43" s="2" t="s">
        <v>90</v>
      </c>
      <c r="F43"/>
      <c r="G43" t="str">
        <f t="shared" ref="G43:G51" si="3">+IF(F43&lt;18.8,"Azul","Blanca")</f>
        <v>Azul</v>
      </c>
      <c r="H43" t="e">
        <f>IF(G43="Rojas",VLOOKUP(F43,#REF!,3,TRUE),IF(G43="Azul",VLOOKUP(F43,#REF!,3,TRUE),VLOOKUP(F43,#REF!,3,TRUE)))</f>
        <v>#REF!</v>
      </c>
      <c r="I43" s="9">
        <f>IFERROR(VLOOKUP(C43,Palmares!#REF!,4,FALSE),0)</f>
        <v>0</v>
      </c>
    </row>
    <row r="44" spans="1:9" ht="15.6" x14ac:dyDescent="0.3">
      <c r="A44" s="2" t="s">
        <v>9</v>
      </c>
      <c r="C44" s="1">
        <v>31602</v>
      </c>
      <c r="D44" s="2" t="s">
        <v>91</v>
      </c>
      <c r="E44" s="2" t="s">
        <v>92</v>
      </c>
      <c r="F44"/>
      <c r="G44" t="str">
        <f t="shared" si="3"/>
        <v>Azul</v>
      </c>
      <c r="H44" t="e">
        <f>IF(G44="Rojas",VLOOKUP(F44,#REF!,3,TRUE),IF(G44="Azul",VLOOKUP(F44,#REF!,3,TRUE),VLOOKUP(F44,#REF!,3,TRUE)))</f>
        <v>#REF!</v>
      </c>
      <c r="I44" s="9">
        <f>IFERROR(VLOOKUP(C44,Palmares!#REF!,4,FALSE),0)</f>
        <v>0</v>
      </c>
    </row>
    <row r="45" spans="1:9" ht="15.6" x14ac:dyDescent="0.3">
      <c r="A45" s="34" t="s">
        <v>9</v>
      </c>
      <c r="C45" s="4">
        <v>16498</v>
      </c>
      <c r="D45" s="5" t="s">
        <v>93</v>
      </c>
      <c r="E45" s="5" t="s">
        <v>94</v>
      </c>
      <c r="F45"/>
      <c r="G45" t="str">
        <f t="shared" si="3"/>
        <v>Azul</v>
      </c>
      <c r="H45" t="e">
        <f>IF(G45="Rojas",VLOOKUP(F45,#REF!,3,TRUE),IF(G45="Azul",VLOOKUP(F45,#REF!,3,TRUE),VLOOKUP(F45,#REF!,3,TRUE)))</f>
        <v>#REF!</v>
      </c>
      <c r="I45" s="9">
        <f>IFERROR(VLOOKUP(C45,Palmares!#REF!,4,FALSE),0)</f>
        <v>0</v>
      </c>
    </row>
    <row r="46" spans="1:9" ht="15.6" x14ac:dyDescent="0.3">
      <c r="A46" s="35" t="s">
        <v>9</v>
      </c>
      <c r="C46" s="36">
        <v>30392</v>
      </c>
      <c r="D46" s="2" t="s">
        <v>95</v>
      </c>
      <c r="E46" s="2" t="s">
        <v>12</v>
      </c>
      <c r="F46"/>
      <c r="G46" t="str">
        <f t="shared" si="3"/>
        <v>Azul</v>
      </c>
      <c r="H46" t="e">
        <f>IF(G46="Rojas",VLOOKUP(F46,#REF!,3,TRUE),IF(G46="Azul",VLOOKUP(F46,#REF!,3,TRUE),VLOOKUP(F46,#REF!,3,TRUE)))</f>
        <v>#REF!</v>
      </c>
      <c r="I46" s="9">
        <f>IFERROR(VLOOKUP(C46,Palmares!#REF!,4,FALSE),0)</f>
        <v>0</v>
      </c>
    </row>
    <row r="47" spans="1:9" ht="15.6" x14ac:dyDescent="0.3">
      <c r="A47" s="37" t="s">
        <v>9</v>
      </c>
      <c r="C47" s="1">
        <v>30088</v>
      </c>
      <c r="D47" s="2" t="s">
        <v>96</v>
      </c>
      <c r="E47" s="2" t="s">
        <v>97</v>
      </c>
      <c r="F47"/>
      <c r="G47" t="str">
        <f t="shared" si="3"/>
        <v>Azul</v>
      </c>
      <c r="H47" t="e">
        <f>IF(G47="Rojas",VLOOKUP(F47,#REF!,3,TRUE),IF(G47="Azul",VLOOKUP(F47,#REF!,3,TRUE),VLOOKUP(F47,#REF!,3,TRUE)))</f>
        <v>#REF!</v>
      </c>
      <c r="I47" s="9">
        <f>IFERROR(VLOOKUP(C47,Palmares!#REF!,4,FALSE),0)</f>
        <v>0</v>
      </c>
    </row>
    <row r="48" spans="1:9" ht="15.6" x14ac:dyDescent="0.3">
      <c r="A48" s="2" t="s">
        <v>9</v>
      </c>
      <c r="C48" s="3">
        <v>5611</v>
      </c>
      <c r="D48" s="2" t="s">
        <v>98</v>
      </c>
      <c r="E48" s="2" t="s">
        <v>99</v>
      </c>
      <c r="F48"/>
      <c r="G48" t="str">
        <f t="shared" si="3"/>
        <v>Azul</v>
      </c>
      <c r="H48" t="e">
        <f>IF(G48="Rojas",VLOOKUP(F48,#REF!,3,TRUE),IF(G48="Azul",VLOOKUP(F48,#REF!,3,TRUE),VLOOKUP(F48,#REF!,3,TRUE)))</f>
        <v>#REF!</v>
      </c>
      <c r="I48" s="9">
        <f>IFERROR(VLOOKUP(C48,Palmares!#REF!,4,FALSE),0)</f>
        <v>0</v>
      </c>
    </row>
    <row r="49" spans="1:9" ht="15.6" x14ac:dyDescent="0.3">
      <c r="A49" s="34" t="s">
        <v>9</v>
      </c>
      <c r="C49" s="1">
        <v>2344</v>
      </c>
      <c r="D49" s="2" t="s">
        <v>100</v>
      </c>
      <c r="E49" s="2" t="s">
        <v>101</v>
      </c>
      <c r="F49"/>
      <c r="G49" t="str">
        <f t="shared" si="3"/>
        <v>Azul</v>
      </c>
      <c r="H49" t="e">
        <f>IF(G49="Rojas",VLOOKUP(F49,#REF!,3,TRUE),IF(G49="Azul",VLOOKUP(F49,#REF!,3,TRUE),VLOOKUP(F49,#REF!,3,TRUE)))</f>
        <v>#REF!</v>
      </c>
      <c r="I49" s="9">
        <f>IFERROR(VLOOKUP(C49,Palmares!#REF!,4,FALSE),0)</f>
        <v>0</v>
      </c>
    </row>
    <row r="50" spans="1:9" ht="15.6" x14ac:dyDescent="0.3">
      <c r="A50" s="35" t="s">
        <v>9</v>
      </c>
      <c r="C50" s="1">
        <v>2348</v>
      </c>
      <c r="D50" s="2" t="s">
        <v>100</v>
      </c>
      <c r="E50" s="2" t="s">
        <v>102</v>
      </c>
      <c r="F50"/>
      <c r="G50" t="str">
        <f t="shared" si="3"/>
        <v>Azul</v>
      </c>
      <c r="H50" t="e">
        <f>IF(G50="Rojas",VLOOKUP(F50,#REF!,3,TRUE),IF(G50="Azul",VLOOKUP(F50,#REF!,3,TRUE),VLOOKUP(F50,#REF!,3,TRUE)))</f>
        <v>#REF!</v>
      </c>
      <c r="I50" s="9">
        <f>IFERROR(VLOOKUP(C50,Palmares!#REF!,4,FALSE),0)</f>
        <v>0</v>
      </c>
    </row>
    <row r="51" spans="1:9" ht="15.6" x14ac:dyDescent="0.3">
      <c r="A51" s="35" t="s">
        <v>9</v>
      </c>
      <c r="C51" s="1">
        <v>2339</v>
      </c>
      <c r="D51" s="2" t="s">
        <v>103</v>
      </c>
      <c r="E51" s="2" t="s">
        <v>104</v>
      </c>
      <c r="F51"/>
      <c r="G51" t="str">
        <f t="shared" si="3"/>
        <v>Azul</v>
      </c>
      <c r="H51" t="e">
        <f>IF(G51="Rojas",VLOOKUP(F51,#REF!,3,TRUE),IF(G51="Azul",VLOOKUP(F51,#REF!,3,TRUE),VLOOKUP(F51,#REF!,3,TRUE)))</f>
        <v>#REF!</v>
      </c>
      <c r="I51" s="9">
        <f>IFERROR(VLOOKUP(C51,Palmares!#REF!,4,FALSE),0)</f>
        <v>0</v>
      </c>
    </row>
    <row r="52" spans="1:9" ht="15.6" x14ac:dyDescent="0.3">
      <c r="A52" s="35" t="s">
        <v>17</v>
      </c>
      <c r="B52">
        <v>2</v>
      </c>
      <c r="C52" s="1">
        <v>32142</v>
      </c>
      <c r="D52" s="39" t="s">
        <v>47</v>
      </c>
      <c r="E52" s="2" t="s">
        <v>48</v>
      </c>
      <c r="F52" s="9">
        <v>23.4</v>
      </c>
      <c r="G52" t="str">
        <f>IF(A52="Damas","Rojas",IF(F52&lt;18.8,"Azul","Blanca"))</f>
        <v>Blanca</v>
      </c>
      <c r="H52" t="e">
        <f>IF(G52="Rojas",VLOOKUP(F52,#REF!,3,TRUE),IF(G52="Azul",VLOOKUP(F52,#REF!,3,TRUE),VLOOKUP(F52,#REF!,3,TRUE)))</f>
        <v>#REF!</v>
      </c>
      <c r="I52" s="9">
        <f>IFERROR(VLOOKUP(C52,Palmares!#REF!,4,FALSE),0)</f>
        <v>0</v>
      </c>
    </row>
    <row r="53" spans="1:9" ht="15.6" x14ac:dyDescent="0.3">
      <c r="A53" s="35" t="s">
        <v>17</v>
      </c>
      <c r="B53">
        <v>2</v>
      </c>
      <c r="C53" s="1">
        <v>18411</v>
      </c>
      <c r="D53" s="39" t="s">
        <v>28</v>
      </c>
      <c r="E53" s="2" t="s">
        <v>29</v>
      </c>
      <c r="F53" s="9">
        <v>24.2</v>
      </c>
      <c r="G53" t="str">
        <f>IF(A53="Damas","Rojas",IF(F53&lt;18.8,"Azul","Blanca"))</f>
        <v>Blanca</v>
      </c>
      <c r="H53" t="e">
        <f>IF(G53="Rojas",VLOOKUP(F53,#REF!,3,TRUE),IF(G53="Azul",VLOOKUP(F53,#REF!,3,TRUE),VLOOKUP(F53,#REF!,3,TRUE)))</f>
        <v>#REF!</v>
      </c>
      <c r="I53" s="9">
        <f>IFERROR(VLOOKUP(C53,Palmares!#REF!,4,FALSE),0)</f>
        <v>0</v>
      </c>
    </row>
    <row r="54" spans="1:9" ht="15.6" x14ac:dyDescent="0.3">
      <c r="A54" s="35" t="s">
        <v>17</v>
      </c>
      <c r="B54">
        <v>2</v>
      </c>
      <c r="C54" s="1">
        <v>8473</v>
      </c>
      <c r="D54" s="39" t="s">
        <v>58</v>
      </c>
      <c r="E54" s="2" t="s">
        <v>59</v>
      </c>
      <c r="F54" s="9">
        <v>24.9</v>
      </c>
      <c r="G54" t="str">
        <f>IF(A54="Damas","Rojas",IF(F54&lt;18.8,"Azul","Blanca"))</f>
        <v>Blanca</v>
      </c>
      <c r="H54" t="e">
        <f>IF(G54="Rojas",VLOOKUP(F54,#REF!,3,TRUE),IF(G54="Azul",VLOOKUP(F54,#REF!,3,TRUE),VLOOKUP(F54,#REF!,3,TRUE)))</f>
        <v>#REF!</v>
      </c>
      <c r="I54" s="9">
        <f>IFERROR(VLOOKUP(C54,Palmares!#REF!,4,FALSE),0)</f>
        <v>0</v>
      </c>
    </row>
    <row r="55" spans="1:9" ht="15.6" x14ac:dyDescent="0.3">
      <c r="A55" s="35" t="s">
        <v>9</v>
      </c>
      <c r="C55" s="36">
        <v>3551</v>
      </c>
      <c r="D55" s="2" t="s">
        <v>110</v>
      </c>
      <c r="E55" s="2" t="s">
        <v>111</v>
      </c>
      <c r="F55"/>
      <c r="G55" t="str">
        <f>+IF(F55&lt;18.8,"Azul","Blanca")</f>
        <v>Azul</v>
      </c>
      <c r="H55" t="e">
        <f>IF(G55="Rojas",VLOOKUP(F55,#REF!,3,TRUE),IF(G55="Azul",VLOOKUP(F55,#REF!,3,TRUE),VLOOKUP(F55,#REF!,3,TRUE)))</f>
        <v>#REF!</v>
      </c>
      <c r="I55" s="9">
        <f>IFERROR(VLOOKUP(C55,Palmares!#REF!,4,FALSE),0)</f>
        <v>0</v>
      </c>
    </row>
    <row r="56" spans="1:9" ht="15.6" x14ac:dyDescent="0.3">
      <c r="A56" s="35" t="s">
        <v>9</v>
      </c>
      <c r="C56" s="1">
        <v>2734</v>
      </c>
      <c r="D56" s="2" t="s">
        <v>112</v>
      </c>
      <c r="E56" s="2" t="s">
        <v>113</v>
      </c>
      <c r="F56"/>
      <c r="G56" t="str">
        <f>+IF(F56&lt;18.8,"Azul","Blanca")</f>
        <v>Azul</v>
      </c>
      <c r="H56" t="e">
        <f>IF(G56="Rojas",VLOOKUP(F56,#REF!,3,TRUE),IF(G56="Azul",VLOOKUP(F56,#REF!,3,TRUE),VLOOKUP(F56,#REF!,3,TRUE)))</f>
        <v>#REF!</v>
      </c>
      <c r="I56" s="9">
        <f>IFERROR(VLOOKUP(C56,Palmares!#REF!,4,FALSE),0)</f>
        <v>0</v>
      </c>
    </row>
    <row r="57" spans="1:9" ht="15.6" x14ac:dyDescent="0.3">
      <c r="A57" s="35" t="s">
        <v>9</v>
      </c>
      <c r="C57" s="1">
        <v>2733</v>
      </c>
      <c r="D57" s="2" t="s">
        <v>112</v>
      </c>
      <c r="E57" s="2" t="s">
        <v>69</v>
      </c>
      <c r="F57"/>
      <c r="G57" t="str">
        <f>+IF(F57&lt;18.8,"Azul","Blanca")</f>
        <v>Azul</v>
      </c>
      <c r="H57" t="e">
        <f>IF(G57="Rojas",VLOOKUP(F57,#REF!,3,TRUE),IF(G57="Azul",VLOOKUP(F57,#REF!,3,TRUE),VLOOKUP(F57,#REF!,3,TRUE)))</f>
        <v>#REF!</v>
      </c>
      <c r="I57" s="9">
        <f>IFERROR(VLOOKUP(C57,Palmares!#REF!,4,FALSE),0)</f>
        <v>0</v>
      </c>
    </row>
    <row r="58" spans="1:9" ht="15.6" x14ac:dyDescent="0.3">
      <c r="A58" s="35" t="s">
        <v>9</v>
      </c>
      <c r="C58" s="1">
        <v>2729</v>
      </c>
      <c r="D58" s="2" t="s">
        <v>114</v>
      </c>
      <c r="E58" s="2" t="s">
        <v>115</v>
      </c>
      <c r="F58"/>
      <c r="G58" t="str">
        <f>+IF(F58&lt;18.8,"Azul","Blanca")</f>
        <v>Azul</v>
      </c>
      <c r="H58" t="e">
        <f>IF(G58="Rojas",VLOOKUP(F58,#REF!,3,TRUE),IF(G58="Azul",VLOOKUP(F58,#REF!,3,TRUE),VLOOKUP(F58,#REF!,3,TRUE)))</f>
        <v>#REF!</v>
      </c>
      <c r="I58" s="9">
        <f>IFERROR(VLOOKUP(C58,Palmares!#REF!,4,FALSE),0)</f>
        <v>0</v>
      </c>
    </row>
    <row r="59" spans="1:9" ht="15.6" x14ac:dyDescent="0.3">
      <c r="A59" s="37" t="s">
        <v>9</v>
      </c>
      <c r="C59" s="1">
        <v>2837</v>
      </c>
      <c r="D59" s="2" t="s">
        <v>116</v>
      </c>
      <c r="E59" s="2" t="s">
        <v>117</v>
      </c>
      <c r="F59"/>
      <c r="G59" t="str">
        <f>+IF(F59&lt;18.8,"Azul","Blanca")</f>
        <v>Azul</v>
      </c>
      <c r="H59" t="e">
        <f>IF(G59="Rojas",VLOOKUP(F59,#REF!,3,TRUE),IF(G59="Azul",VLOOKUP(F59,#REF!,3,TRUE),VLOOKUP(F59,#REF!,3,TRUE)))</f>
        <v>#REF!</v>
      </c>
      <c r="I59" s="9">
        <f>IFERROR(VLOOKUP(C59,Palmares!#REF!,4,FALSE),0)</f>
        <v>0</v>
      </c>
    </row>
    <row r="60" spans="1:9" ht="15.6" x14ac:dyDescent="0.3">
      <c r="A60" s="2" t="s">
        <v>51</v>
      </c>
      <c r="B60">
        <v>2</v>
      </c>
      <c r="C60" s="1">
        <v>32313</v>
      </c>
      <c r="D60" s="39" t="s">
        <v>341</v>
      </c>
      <c r="E60" s="2" t="s">
        <v>369</v>
      </c>
      <c r="F60" s="9">
        <v>24</v>
      </c>
      <c r="G60" t="str">
        <f>IF(A60="Damas","Rojas",IF(F60&lt;18.8,"Azul","Blanca"))</f>
        <v>Rojas</v>
      </c>
      <c r="H60" t="e">
        <f>IF(G60="Rojas",VLOOKUP(F60,#REF!,3,TRUE),IF(G60="Azul",VLOOKUP(F60,#REF!,3,TRUE),VLOOKUP(F60,#REF!,3,TRUE)))</f>
        <v>#REF!</v>
      </c>
      <c r="I60" s="9">
        <f>IFERROR(VLOOKUP(C60,Palmares!#REF!,4,FALSE),0)</f>
        <v>0</v>
      </c>
    </row>
    <row r="61" spans="1:9" ht="15.6" x14ac:dyDescent="0.3">
      <c r="A61" s="34" t="s">
        <v>17</v>
      </c>
      <c r="B61">
        <v>3</v>
      </c>
      <c r="C61" s="1">
        <v>16552</v>
      </c>
      <c r="D61" s="39" t="s">
        <v>272</v>
      </c>
      <c r="E61" s="2" t="s">
        <v>273</v>
      </c>
      <c r="F61" s="9">
        <v>11.7</v>
      </c>
      <c r="G61" t="str">
        <f>IF(A61="Damas","Rojas",IF(F61&lt;18.8,"Azul","Blanca"))</f>
        <v>Azul</v>
      </c>
      <c r="H61" t="e">
        <f>IF(G61="Rojas",VLOOKUP(F61,#REF!,3,TRUE),IF(G61="Azul",VLOOKUP(F61,#REF!,3,TRUE),VLOOKUP(F61,#REF!,3,TRUE)))</f>
        <v>#REF!</v>
      </c>
      <c r="I61" s="9">
        <f>IFERROR(VLOOKUP(C61,Palmares!#REF!,4,FALSE),0)</f>
        <v>0</v>
      </c>
    </row>
    <row r="62" spans="1:9" ht="15.6" x14ac:dyDescent="0.3">
      <c r="A62" s="35" t="s">
        <v>9</v>
      </c>
      <c r="C62" s="36">
        <v>27976</v>
      </c>
      <c r="D62" s="2" t="s">
        <v>122</v>
      </c>
      <c r="E62" s="2" t="s">
        <v>123</v>
      </c>
      <c r="F62"/>
      <c r="G62" t="str">
        <f t="shared" ref="G62:G75" si="4">+IF(F62&lt;18.8,"Azul","Blanca")</f>
        <v>Azul</v>
      </c>
      <c r="H62" t="e">
        <f>IF(G62="Rojas",VLOOKUP(F62,#REF!,3,TRUE),IF(G62="Azul",VLOOKUP(F62,#REF!,3,TRUE),VLOOKUP(F62,#REF!,3,TRUE)))</f>
        <v>#REF!</v>
      </c>
      <c r="I62" s="9">
        <f>IFERROR(VLOOKUP(C62,Palmares!#REF!,4,FALSE),0)</f>
        <v>0</v>
      </c>
    </row>
    <row r="63" spans="1:9" ht="15.6" x14ac:dyDescent="0.3">
      <c r="A63" s="37" t="s">
        <v>9</v>
      </c>
      <c r="C63" s="36">
        <v>3022</v>
      </c>
      <c r="D63" s="2" t="s">
        <v>124</v>
      </c>
      <c r="E63" s="2" t="s">
        <v>125</v>
      </c>
      <c r="F63"/>
      <c r="G63" t="str">
        <f t="shared" si="4"/>
        <v>Azul</v>
      </c>
      <c r="H63" t="e">
        <f>IF(G63="Rojas",VLOOKUP(F63,#REF!,3,TRUE),IF(G63="Azul",VLOOKUP(F63,#REF!,3,TRUE),VLOOKUP(F63,#REF!,3,TRUE)))</f>
        <v>#REF!</v>
      </c>
      <c r="I63" s="9">
        <f>IFERROR(VLOOKUP(C63,Palmares!#REF!,4,FALSE),0)</f>
        <v>0</v>
      </c>
    </row>
    <row r="64" spans="1:9" ht="15.6" x14ac:dyDescent="0.3">
      <c r="A64" s="2" t="s">
        <v>9</v>
      </c>
      <c r="C64" s="1">
        <v>18635</v>
      </c>
      <c r="D64" s="2" t="s">
        <v>126</v>
      </c>
      <c r="E64" s="2" t="s">
        <v>127</v>
      </c>
      <c r="F64"/>
      <c r="G64" t="str">
        <f t="shared" si="4"/>
        <v>Azul</v>
      </c>
      <c r="H64" t="e">
        <f>IF(G64="Rojas",VLOOKUP(F64,#REF!,3,TRUE),IF(G64="Azul",VLOOKUP(F64,#REF!,3,TRUE),VLOOKUP(F64,#REF!,3,TRUE)))</f>
        <v>#REF!</v>
      </c>
      <c r="I64" s="9">
        <f>IFERROR(VLOOKUP(C64,Palmares!#REF!,4,FALSE),0)</f>
        <v>0</v>
      </c>
    </row>
    <row r="65" spans="1:9" ht="15.6" x14ac:dyDescent="0.3">
      <c r="A65" s="34" t="s">
        <v>9</v>
      </c>
      <c r="C65" s="4">
        <v>25574</v>
      </c>
      <c r="D65" s="5" t="s">
        <v>128</v>
      </c>
      <c r="E65" s="5" t="s">
        <v>129</v>
      </c>
      <c r="F65" s="9">
        <v>8.8000000000000007</v>
      </c>
      <c r="G65" t="str">
        <f t="shared" si="4"/>
        <v>Azul</v>
      </c>
      <c r="H65" t="e">
        <f>IF(G65="Rojas",VLOOKUP(F65,#REF!,3,TRUE),IF(G65="Azul",VLOOKUP(F65,#REF!,3,TRUE),VLOOKUP(F65,#REF!,3,TRUE)))</f>
        <v>#REF!</v>
      </c>
      <c r="I65" s="9">
        <f>IFERROR(VLOOKUP(C65,Palmares!#REF!,4,FALSE),0)</f>
        <v>0</v>
      </c>
    </row>
    <row r="66" spans="1:9" ht="15.6" x14ac:dyDescent="0.3">
      <c r="A66" s="35" t="s">
        <v>9</v>
      </c>
      <c r="C66" s="1">
        <v>15244</v>
      </c>
      <c r="D66" s="2" t="s">
        <v>130</v>
      </c>
      <c r="E66" s="2" t="s">
        <v>131</v>
      </c>
      <c r="F66"/>
      <c r="G66" t="str">
        <f t="shared" si="4"/>
        <v>Azul</v>
      </c>
      <c r="H66" t="e">
        <f>IF(G66="Rojas",VLOOKUP(F66,#REF!,3,TRUE),IF(G66="Azul",VLOOKUP(F66,#REF!,3,TRUE),VLOOKUP(F66,#REF!,3,TRUE)))</f>
        <v>#REF!</v>
      </c>
      <c r="I66" s="9">
        <f>IFERROR(VLOOKUP(C66,Palmares!#REF!,4,FALSE),0)</f>
        <v>0</v>
      </c>
    </row>
    <row r="67" spans="1:9" ht="15.6" x14ac:dyDescent="0.3">
      <c r="A67" s="35" t="s">
        <v>9</v>
      </c>
      <c r="C67" s="1">
        <v>24477</v>
      </c>
      <c r="D67" s="2" t="s">
        <v>132</v>
      </c>
      <c r="E67" s="2" t="s">
        <v>133</v>
      </c>
      <c r="F67"/>
      <c r="G67" t="str">
        <f t="shared" si="4"/>
        <v>Azul</v>
      </c>
      <c r="H67" t="e">
        <f>IF(G67="Rojas",VLOOKUP(F67,#REF!,3,TRUE),IF(G67="Azul",VLOOKUP(F67,#REF!,3,TRUE),VLOOKUP(F67,#REF!,3,TRUE)))</f>
        <v>#REF!</v>
      </c>
      <c r="I67" s="9">
        <f>IFERROR(VLOOKUP(C67,Palmares!#REF!,4,FALSE),0)</f>
        <v>0</v>
      </c>
    </row>
    <row r="68" spans="1:9" ht="15.6" x14ac:dyDescent="0.3">
      <c r="A68" s="37" t="s">
        <v>9</v>
      </c>
      <c r="C68" s="1">
        <v>3525</v>
      </c>
      <c r="D68" s="2" t="s">
        <v>134</v>
      </c>
      <c r="E68" s="2" t="s">
        <v>135</v>
      </c>
      <c r="F68"/>
      <c r="G68" t="str">
        <f t="shared" si="4"/>
        <v>Azul</v>
      </c>
      <c r="H68" t="e">
        <f>IF(G68="Rojas",VLOOKUP(F68,#REF!,3,TRUE),IF(G68="Azul",VLOOKUP(F68,#REF!,3,TRUE),VLOOKUP(F68,#REF!,3,TRUE)))</f>
        <v>#REF!</v>
      </c>
      <c r="I68" s="9">
        <f>IFERROR(VLOOKUP(C68,Palmares!#REF!,4,FALSE),0)</f>
        <v>0</v>
      </c>
    </row>
    <row r="69" spans="1:9" ht="15.6" x14ac:dyDescent="0.3">
      <c r="A69" s="2" t="s">
        <v>17</v>
      </c>
      <c r="C69" s="1">
        <v>12331</v>
      </c>
      <c r="D69" s="2" t="s">
        <v>136</v>
      </c>
      <c r="E69" s="2" t="s">
        <v>137</v>
      </c>
      <c r="F69" s="9">
        <v>18.7</v>
      </c>
      <c r="G69" t="str">
        <f t="shared" si="4"/>
        <v>Azul</v>
      </c>
      <c r="H69" t="e">
        <f>IF(G69="Rojas",VLOOKUP(F69,#REF!,3,TRUE),IF(G69="Azul",VLOOKUP(F69,#REF!,3,TRUE),VLOOKUP(F69,#REF!,3,TRUE)))</f>
        <v>#REF!</v>
      </c>
      <c r="I69" s="9">
        <f>IFERROR(VLOOKUP(C69,Palmares!#REF!,4,FALSE),0)</f>
        <v>0</v>
      </c>
    </row>
    <row r="70" spans="1:9" ht="15.6" x14ac:dyDescent="0.3">
      <c r="A70" s="2" t="s">
        <v>9</v>
      </c>
      <c r="C70" s="36">
        <v>27974</v>
      </c>
      <c r="D70" s="2" t="s">
        <v>138</v>
      </c>
      <c r="E70" s="2" t="s">
        <v>139</v>
      </c>
      <c r="F70"/>
      <c r="G70" t="str">
        <f t="shared" si="4"/>
        <v>Azul</v>
      </c>
      <c r="H70" t="e">
        <f>IF(G70="Rojas",VLOOKUP(F70,#REF!,3,TRUE),IF(G70="Azul",VLOOKUP(F70,#REF!,3,TRUE),VLOOKUP(F70,#REF!,3,TRUE)))</f>
        <v>#REF!</v>
      </c>
      <c r="I70" s="9">
        <f>IFERROR(VLOOKUP(C70,Palmares!#REF!,4,FALSE),0)</f>
        <v>0</v>
      </c>
    </row>
    <row r="71" spans="1:9" ht="15.6" x14ac:dyDescent="0.3">
      <c r="A71" s="38" t="s">
        <v>17</v>
      </c>
      <c r="B71">
        <v>3</v>
      </c>
      <c r="C71" s="1">
        <v>31818</v>
      </c>
      <c r="D71" s="39" t="s">
        <v>235</v>
      </c>
      <c r="E71" s="2" t="s">
        <v>236</v>
      </c>
      <c r="F71" s="9">
        <v>15.4</v>
      </c>
      <c r="G71" t="str">
        <f t="shared" si="4"/>
        <v>Azul</v>
      </c>
      <c r="H71" t="e">
        <f>IF(G71="Rojas",VLOOKUP(F71,#REF!,3,TRUE),IF(G71="Azul",VLOOKUP(F71,#REF!,3,TRUE),VLOOKUP(F71,#REF!,3,TRUE)))</f>
        <v>#REF!</v>
      </c>
      <c r="I71" s="9">
        <f>IFERROR(VLOOKUP(C71,Palmares!#REF!,4,FALSE),0)</f>
        <v>0</v>
      </c>
    </row>
    <row r="72" spans="1:9" ht="15.6" x14ac:dyDescent="0.3">
      <c r="A72" s="2" t="s">
        <v>9</v>
      </c>
      <c r="C72" s="1">
        <v>3616</v>
      </c>
      <c r="D72" s="2" t="s">
        <v>141</v>
      </c>
      <c r="E72" s="2" t="s">
        <v>142</v>
      </c>
      <c r="F72"/>
      <c r="G72" t="str">
        <f t="shared" si="4"/>
        <v>Azul</v>
      </c>
      <c r="H72" t="e">
        <f>IF(G72="Rojas",VLOOKUP(F72,#REF!,3,TRUE),IF(G72="Azul",VLOOKUP(F72,#REF!,3,TRUE),VLOOKUP(F72,#REF!,3,TRUE)))</f>
        <v>#REF!</v>
      </c>
      <c r="I72" s="9">
        <f>IFERROR(VLOOKUP(C72,Palmares!#REF!,4,FALSE),0)</f>
        <v>0</v>
      </c>
    </row>
    <row r="73" spans="1:9" ht="15.6" x14ac:dyDescent="0.3">
      <c r="A73" s="34" t="s">
        <v>9</v>
      </c>
      <c r="C73" s="1">
        <v>25149</v>
      </c>
      <c r="D73" s="2" t="s">
        <v>143</v>
      </c>
      <c r="E73" s="2" t="s">
        <v>144</v>
      </c>
      <c r="F73"/>
      <c r="G73" t="str">
        <f t="shared" si="4"/>
        <v>Azul</v>
      </c>
      <c r="H73" t="e">
        <f>IF(G73="Rojas",VLOOKUP(F73,#REF!,3,TRUE),IF(G73="Azul",VLOOKUP(F73,#REF!,3,TRUE),VLOOKUP(F73,#REF!,3,TRUE)))</f>
        <v>#REF!</v>
      </c>
      <c r="I73" s="9">
        <f>IFERROR(VLOOKUP(C73,Palmares!#REF!,4,FALSE),0)</f>
        <v>0</v>
      </c>
    </row>
    <row r="74" spans="1:9" ht="15.6" x14ac:dyDescent="0.3">
      <c r="A74" s="35" t="s">
        <v>9</v>
      </c>
      <c r="C74" s="1">
        <v>3683</v>
      </c>
      <c r="D74" s="2" t="s">
        <v>145</v>
      </c>
      <c r="E74" s="2" t="s">
        <v>146</v>
      </c>
      <c r="F74"/>
      <c r="G74" t="str">
        <f t="shared" si="4"/>
        <v>Azul</v>
      </c>
      <c r="H74" t="e">
        <f>IF(G74="Rojas",VLOOKUP(F74,#REF!,3,TRUE),IF(G74="Azul",VLOOKUP(F74,#REF!,3,TRUE),VLOOKUP(F74,#REF!,3,TRUE)))</f>
        <v>#REF!</v>
      </c>
      <c r="I74" s="9">
        <f>IFERROR(VLOOKUP(C74,Palmares!#REF!,4,FALSE),0)</f>
        <v>0</v>
      </c>
    </row>
    <row r="75" spans="1:9" ht="15.6" x14ac:dyDescent="0.3">
      <c r="A75" s="35" t="s">
        <v>9</v>
      </c>
      <c r="C75" s="1">
        <v>3685</v>
      </c>
      <c r="D75" s="2" t="s">
        <v>147</v>
      </c>
      <c r="E75" s="2" t="s">
        <v>148</v>
      </c>
      <c r="F75"/>
      <c r="G75" t="str">
        <f t="shared" si="4"/>
        <v>Azul</v>
      </c>
      <c r="H75" t="e">
        <f>IF(G75="Rojas",VLOOKUP(F75,#REF!,3,TRUE),IF(G75="Azul",VLOOKUP(F75,#REF!,3,TRUE),VLOOKUP(F75,#REF!,3,TRUE)))</f>
        <v>#REF!</v>
      </c>
      <c r="I75" s="9">
        <f>IFERROR(VLOOKUP(C75,Palmares!#REF!,4,FALSE),0)</f>
        <v>0</v>
      </c>
    </row>
    <row r="76" spans="1:9" ht="15.6" x14ac:dyDescent="0.3">
      <c r="A76" s="35" t="s">
        <v>17</v>
      </c>
      <c r="B76">
        <v>3</v>
      </c>
      <c r="C76" s="1">
        <v>9446</v>
      </c>
      <c r="D76" s="39" t="s">
        <v>285</v>
      </c>
      <c r="E76" s="2" t="s">
        <v>286</v>
      </c>
      <c r="F76" s="9">
        <v>15.7</v>
      </c>
      <c r="G76" t="str">
        <f>IF(A76="Damas","Rojas",IF(F76&lt;18.8,"Azul","Blanca"))</f>
        <v>Azul</v>
      </c>
      <c r="H76" t="e">
        <f>IF(G76="Rojas",VLOOKUP(F76,#REF!,3,TRUE),IF(G76="Azul",VLOOKUP(F76,#REF!,3,TRUE),VLOOKUP(F76,#REF!,3,TRUE)))</f>
        <v>#REF!</v>
      </c>
      <c r="I76" s="9">
        <f>IFERROR(VLOOKUP(C76,Palmares!#REF!,4,FALSE),0)</f>
        <v>0</v>
      </c>
    </row>
    <row r="77" spans="1:9" ht="15.6" x14ac:dyDescent="0.3">
      <c r="A77" s="37" t="s">
        <v>17</v>
      </c>
      <c r="C77" s="1">
        <v>27435</v>
      </c>
      <c r="D77" s="2" t="s">
        <v>151</v>
      </c>
      <c r="E77" s="2" t="s">
        <v>152</v>
      </c>
      <c r="F77" s="9">
        <v>10.8</v>
      </c>
      <c r="G77" t="str">
        <f>+IF(F77&lt;18.8,"Azul","Blanca")</f>
        <v>Azul</v>
      </c>
      <c r="H77" t="e">
        <f>IF(G77="Rojas",VLOOKUP(F77,#REF!,3,TRUE),IF(G77="Azul",VLOOKUP(F77,#REF!,3,TRUE),VLOOKUP(F77,#REF!,3,TRUE)))</f>
        <v>#REF!</v>
      </c>
      <c r="I77" s="9">
        <f>IFERROR(VLOOKUP(C77,Palmares!#REF!,4,FALSE),0)</f>
        <v>0</v>
      </c>
    </row>
    <row r="78" spans="1:9" ht="15.6" x14ac:dyDescent="0.3">
      <c r="A78" s="2" t="s">
        <v>17</v>
      </c>
      <c r="B78">
        <v>3</v>
      </c>
      <c r="C78" s="1">
        <v>33116</v>
      </c>
      <c r="D78" s="39" t="s">
        <v>195</v>
      </c>
      <c r="E78" s="2" t="s">
        <v>196</v>
      </c>
      <c r="F78" s="9">
        <v>29</v>
      </c>
      <c r="G78" t="str">
        <f>+IF(F78&lt;18.8,"Azul","Blanca")</f>
        <v>Blanca</v>
      </c>
      <c r="H78" t="e">
        <f>IF(G78="Rojas",VLOOKUP(F78,#REF!,3,TRUE),IF(G78="Azul",VLOOKUP(F78,#REF!,3,TRUE),VLOOKUP(F78,#REF!,3,TRUE)))</f>
        <v>#REF!</v>
      </c>
      <c r="I78" s="9">
        <f>IFERROR(VLOOKUP(C78,Palmares!#REF!,4,FALSE),0)</f>
        <v>0</v>
      </c>
    </row>
    <row r="79" spans="1:9" ht="15.6" x14ac:dyDescent="0.3">
      <c r="A79" s="2" t="s">
        <v>9</v>
      </c>
      <c r="C79" s="1">
        <v>351</v>
      </c>
      <c r="D79" s="2" t="s">
        <v>155</v>
      </c>
      <c r="E79" s="2" t="s">
        <v>156</v>
      </c>
      <c r="F79"/>
      <c r="G79" t="str">
        <f>+IF(F79&lt;18.8,"Azul","Blanca")</f>
        <v>Azul</v>
      </c>
      <c r="H79" t="e">
        <f>IF(G79="Rojas",VLOOKUP(F79,#REF!,3,TRUE),IF(G79="Azul",VLOOKUP(F79,#REF!,3,TRUE),VLOOKUP(F79,#REF!,3,TRUE)))</f>
        <v>#REF!</v>
      </c>
      <c r="I79" s="9">
        <f>IFERROR(VLOOKUP(C79,Palmares!#REF!,4,FALSE),0)</f>
        <v>0</v>
      </c>
    </row>
    <row r="80" spans="1:9" ht="15.6" x14ac:dyDescent="0.3">
      <c r="A80" s="34" t="s">
        <v>51</v>
      </c>
      <c r="C80" s="1">
        <v>4024</v>
      </c>
      <c r="D80" s="2" t="s">
        <v>370</v>
      </c>
      <c r="E80" s="2" t="s">
        <v>371</v>
      </c>
      <c r="F80" s="9">
        <v>15.9</v>
      </c>
      <c r="G80" t="str">
        <f>IF(A80="Damas","Rojas",IF(F80&lt;18.8,"Azul","Blanca"))</f>
        <v>Rojas</v>
      </c>
      <c r="H80" t="e">
        <f>IF(G80="Rojas",VLOOKUP(F80,#REF!,3,TRUE),IF(G80="Azul",VLOOKUP(F80,#REF!,3,TRUE),VLOOKUP(F80,#REF!,3,TRUE)))</f>
        <v>#REF!</v>
      </c>
      <c r="I80" s="9">
        <f>IFERROR(VLOOKUP(C80,Palmares!#REF!,4,FALSE),0)</f>
        <v>0</v>
      </c>
    </row>
    <row r="81" spans="1:9" ht="15.6" x14ac:dyDescent="0.3">
      <c r="A81" s="37" t="s">
        <v>9</v>
      </c>
      <c r="C81" s="1">
        <v>4094</v>
      </c>
      <c r="D81" s="2" t="s">
        <v>159</v>
      </c>
      <c r="E81" s="2" t="s">
        <v>61</v>
      </c>
      <c r="F81"/>
      <c r="G81" t="str">
        <f>+IF(F81&lt;18.8,"Azul","Blanca")</f>
        <v>Azul</v>
      </c>
      <c r="H81" t="e">
        <f>IF(G81="Rojas",VLOOKUP(F81,#REF!,3,TRUE),IF(G81="Azul",VLOOKUP(F81,#REF!,3,TRUE),VLOOKUP(F81,#REF!,3,TRUE)))</f>
        <v>#REF!</v>
      </c>
      <c r="I81" s="9">
        <f>IFERROR(VLOOKUP(C81,Palmares!#REF!,4,FALSE),0)</f>
        <v>0</v>
      </c>
    </row>
    <row r="82" spans="1:9" ht="15.6" x14ac:dyDescent="0.3">
      <c r="A82" s="2" t="s">
        <v>9</v>
      </c>
      <c r="C82" s="1">
        <v>4125</v>
      </c>
      <c r="D82" s="2" t="s">
        <v>160</v>
      </c>
      <c r="E82" s="2" t="s">
        <v>161</v>
      </c>
      <c r="F82"/>
      <c r="G82" t="str">
        <f>+IF(F82&lt;18.8,"Azul","Blanca")</f>
        <v>Azul</v>
      </c>
      <c r="H82" t="e">
        <f>IF(G82="Rojas",VLOOKUP(F82,#REF!,3,TRUE),IF(G82="Azul",VLOOKUP(F82,#REF!,3,TRUE),VLOOKUP(F82,#REF!,3,TRUE)))</f>
        <v>#REF!</v>
      </c>
      <c r="I82" s="9">
        <f>IFERROR(VLOOKUP(C82,Palmares!#REF!,4,FALSE),0)</f>
        <v>0</v>
      </c>
    </row>
    <row r="83" spans="1:9" ht="15.6" x14ac:dyDescent="0.3">
      <c r="A83" s="34" t="s">
        <v>9</v>
      </c>
      <c r="C83" s="1">
        <v>30102</v>
      </c>
      <c r="D83" s="2" t="s">
        <v>162</v>
      </c>
      <c r="E83" s="2" t="s">
        <v>163</v>
      </c>
      <c r="F83"/>
      <c r="G83" t="str">
        <f>+IF(F83&lt;18.8,"Azul","Blanca")</f>
        <v>Azul</v>
      </c>
      <c r="H83" t="e">
        <f>IF(G83="Rojas",VLOOKUP(F83,#REF!,3,TRUE),IF(G83="Azul",VLOOKUP(F83,#REF!,3,TRUE),VLOOKUP(F83,#REF!,3,TRUE)))</f>
        <v>#REF!</v>
      </c>
      <c r="I83" s="9">
        <f>IFERROR(VLOOKUP(C83,Palmares!#REF!,4,FALSE),0)</f>
        <v>0</v>
      </c>
    </row>
    <row r="84" spans="1:9" ht="15.6" x14ac:dyDescent="0.3">
      <c r="A84" s="35" t="s">
        <v>9</v>
      </c>
      <c r="C84" s="1">
        <v>25354</v>
      </c>
      <c r="D84" s="2" t="s">
        <v>164</v>
      </c>
      <c r="E84" s="2" t="s">
        <v>165</v>
      </c>
      <c r="F84"/>
      <c r="G84" t="str">
        <f>+IF(F84&lt;18.8,"Azul","Blanca")</f>
        <v>Azul</v>
      </c>
      <c r="H84" t="e">
        <f>IF(G84="Rojas",VLOOKUP(F84,#REF!,3,TRUE),IF(G84="Azul",VLOOKUP(F84,#REF!,3,TRUE),VLOOKUP(F84,#REF!,3,TRUE)))</f>
        <v>#REF!</v>
      </c>
      <c r="I84" s="9">
        <f>IFERROR(VLOOKUP(C84,Palmares!#REF!,4,FALSE),0)</f>
        <v>0</v>
      </c>
    </row>
    <row r="85" spans="1:9" ht="15.6" x14ac:dyDescent="0.3">
      <c r="A85" s="37" t="s">
        <v>17</v>
      </c>
      <c r="B85">
        <v>4</v>
      </c>
      <c r="C85" s="1">
        <v>3936</v>
      </c>
      <c r="D85" s="39" t="s">
        <v>218</v>
      </c>
      <c r="E85" s="2" t="s">
        <v>219</v>
      </c>
      <c r="F85" s="9">
        <v>15.3</v>
      </c>
      <c r="G85" t="str">
        <f>IF(A85="Damas","Rojas",IF(F85&lt;18.8,"Azul","Blanca"))</f>
        <v>Azul</v>
      </c>
      <c r="H85" t="e">
        <f>IF(G85="Rojas",VLOOKUP(F85,#REF!,3,TRUE),IF(G85="Azul",VLOOKUP(F85,#REF!,3,TRUE),VLOOKUP(F85,#REF!,3,TRUE)))</f>
        <v>#REF!</v>
      </c>
      <c r="I85" s="9">
        <f>IFERROR(VLOOKUP(C85,Palmares!#REF!,4,FALSE),0)</f>
        <v>0</v>
      </c>
    </row>
    <row r="86" spans="1:9" ht="15.6" x14ac:dyDescent="0.3">
      <c r="A86" s="2" t="s">
        <v>9</v>
      </c>
      <c r="C86" s="1">
        <v>31601</v>
      </c>
      <c r="D86" s="2" t="s">
        <v>168</v>
      </c>
      <c r="E86" s="2" t="s">
        <v>29</v>
      </c>
      <c r="F86"/>
      <c r="G86" t="str">
        <f t="shared" ref="G86:G96" si="5">+IF(F86&lt;18.8,"Azul","Blanca")</f>
        <v>Azul</v>
      </c>
      <c r="H86" t="e">
        <f>IF(G86="Rojas",VLOOKUP(F86,#REF!,3,TRUE),IF(G86="Azul",VLOOKUP(F86,#REF!,3,TRUE),VLOOKUP(F86,#REF!,3,TRUE)))</f>
        <v>#REF!</v>
      </c>
      <c r="I86" s="9">
        <f>IFERROR(VLOOKUP(C86,Palmares!#REF!,4,FALSE),0)</f>
        <v>0</v>
      </c>
    </row>
    <row r="87" spans="1:9" ht="15.6" x14ac:dyDescent="0.3">
      <c r="A87" s="2" t="s">
        <v>9</v>
      </c>
      <c r="C87" s="1">
        <v>4488</v>
      </c>
      <c r="D87" s="2" t="s">
        <v>169</v>
      </c>
      <c r="E87" s="2" t="s">
        <v>170</v>
      </c>
      <c r="F87"/>
      <c r="G87" t="str">
        <f t="shared" si="5"/>
        <v>Azul</v>
      </c>
      <c r="H87" t="e">
        <f>IF(G87="Rojas",VLOOKUP(F87,#REF!,3,TRUE),IF(G87="Azul",VLOOKUP(F87,#REF!,3,TRUE),VLOOKUP(F87,#REF!,3,TRUE)))</f>
        <v>#REF!</v>
      </c>
      <c r="I87" s="9">
        <f>IFERROR(VLOOKUP(C87,Palmares!#REF!,4,FALSE),0)</f>
        <v>0</v>
      </c>
    </row>
    <row r="88" spans="1:9" ht="15.6" x14ac:dyDescent="0.3">
      <c r="A88" s="34" t="s">
        <v>9</v>
      </c>
      <c r="C88" s="1">
        <v>13266</v>
      </c>
      <c r="D88" s="2" t="s">
        <v>171</v>
      </c>
      <c r="E88" s="2" t="s">
        <v>172</v>
      </c>
      <c r="F88"/>
      <c r="G88" t="str">
        <f t="shared" si="5"/>
        <v>Azul</v>
      </c>
      <c r="H88" t="e">
        <f>IF(G88="Rojas",VLOOKUP(F88,#REF!,3,TRUE),IF(G88="Azul",VLOOKUP(F88,#REF!,3,TRUE),VLOOKUP(F88,#REF!,3,TRUE)))</f>
        <v>#REF!</v>
      </c>
      <c r="I88" s="9">
        <f>IFERROR(VLOOKUP(C88,Palmares!#REF!,4,FALSE),0)</f>
        <v>0</v>
      </c>
    </row>
    <row r="89" spans="1:9" ht="15.6" x14ac:dyDescent="0.3">
      <c r="A89" s="37" t="s">
        <v>9</v>
      </c>
      <c r="C89" s="1">
        <v>28528</v>
      </c>
      <c r="D89" s="2" t="s">
        <v>173</v>
      </c>
      <c r="E89" s="2" t="s">
        <v>174</v>
      </c>
      <c r="F89"/>
      <c r="G89" t="str">
        <f t="shared" si="5"/>
        <v>Azul</v>
      </c>
      <c r="H89" t="e">
        <f>IF(G89="Rojas",VLOOKUP(F89,#REF!,3,TRUE),IF(G89="Azul",VLOOKUP(F89,#REF!,3,TRUE),VLOOKUP(F89,#REF!,3,TRUE)))</f>
        <v>#REF!</v>
      </c>
      <c r="I89" s="9">
        <f>IFERROR(VLOOKUP(C89,Palmares!#REF!,4,FALSE),0)</f>
        <v>0</v>
      </c>
    </row>
    <row r="90" spans="1:9" ht="15.6" x14ac:dyDescent="0.3">
      <c r="A90" s="2" t="s">
        <v>9</v>
      </c>
      <c r="C90" s="1">
        <v>33424</v>
      </c>
      <c r="D90" s="2" t="s">
        <v>175</v>
      </c>
      <c r="E90" s="2" t="s">
        <v>176</v>
      </c>
      <c r="F90"/>
      <c r="G90" t="str">
        <f t="shared" si="5"/>
        <v>Azul</v>
      </c>
      <c r="H90" t="e">
        <f>IF(G90="Rojas",VLOOKUP(F90,#REF!,3,TRUE),IF(G90="Azul",VLOOKUP(F90,#REF!,3,TRUE),VLOOKUP(F90,#REF!,3,TRUE)))</f>
        <v>#REF!</v>
      </c>
      <c r="I90" s="9">
        <f>IFERROR(VLOOKUP(C90,Palmares!#REF!,4,FALSE),0)</f>
        <v>0</v>
      </c>
    </row>
    <row r="91" spans="1:9" ht="15.6" x14ac:dyDescent="0.3">
      <c r="A91" s="38" t="s">
        <v>9</v>
      </c>
      <c r="C91" s="1">
        <v>5075</v>
      </c>
      <c r="D91" s="2" t="s">
        <v>177</v>
      </c>
      <c r="E91" s="2" t="s">
        <v>178</v>
      </c>
      <c r="F91"/>
      <c r="G91" t="str">
        <f t="shared" si="5"/>
        <v>Azul</v>
      </c>
      <c r="H91" t="e">
        <f>IF(G91="Rojas",VLOOKUP(F91,#REF!,3,TRUE),IF(G91="Azul",VLOOKUP(F91,#REF!,3,TRUE),VLOOKUP(F91,#REF!,3,TRUE)))</f>
        <v>#REF!</v>
      </c>
      <c r="I91" s="9">
        <f>IFERROR(VLOOKUP(C91,Palmares!#REF!,4,FALSE),0)</f>
        <v>0</v>
      </c>
    </row>
    <row r="92" spans="1:9" ht="15.6" x14ac:dyDescent="0.3">
      <c r="A92" s="2" t="s">
        <v>9</v>
      </c>
      <c r="C92" s="1">
        <v>5040</v>
      </c>
      <c r="D92" s="2" t="s">
        <v>179</v>
      </c>
      <c r="E92" s="2" t="s">
        <v>180</v>
      </c>
      <c r="F92"/>
      <c r="G92" t="str">
        <f t="shared" si="5"/>
        <v>Azul</v>
      </c>
      <c r="H92" t="e">
        <f>IF(G92="Rojas",VLOOKUP(F92,#REF!,3,TRUE),IF(G92="Azul",VLOOKUP(F92,#REF!,3,TRUE),VLOOKUP(F92,#REF!,3,TRUE)))</f>
        <v>#REF!</v>
      </c>
      <c r="I92" s="9">
        <f>IFERROR(VLOOKUP(C92,Palmares!#REF!,4,FALSE),0)</f>
        <v>0</v>
      </c>
    </row>
    <row r="93" spans="1:9" ht="15.6" x14ac:dyDescent="0.3">
      <c r="A93" s="34" t="s">
        <v>17</v>
      </c>
      <c r="C93" s="3">
        <v>33117</v>
      </c>
      <c r="D93" s="2" t="s">
        <v>181</v>
      </c>
      <c r="E93" s="2" t="s">
        <v>182</v>
      </c>
      <c r="F93" s="9">
        <v>18.7</v>
      </c>
      <c r="G93" t="str">
        <f t="shared" si="5"/>
        <v>Azul</v>
      </c>
      <c r="H93" t="e">
        <f>IF(G93="Rojas",VLOOKUP(F93,#REF!,3,TRUE),IF(G93="Azul",VLOOKUP(F93,#REF!,3,TRUE),VLOOKUP(F93,#REF!,3,TRUE)))</f>
        <v>#REF!</v>
      </c>
      <c r="I93" s="9">
        <f>IFERROR(VLOOKUP(C93,Palmares!#REF!,4,FALSE),0)</f>
        <v>0</v>
      </c>
    </row>
    <row r="94" spans="1:9" ht="15.6" x14ac:dyDescent="0.3">
      <c r="A94" s="35" t="s">
        <v>9</v>
      </c>
      <c r="C94" s="1">
        <v>27687</v>
      </c>
      <c r="D94" s="2" t="s">
        <v>183</v>
      </c>
      <c r="E94" s="2" t="s">
        <v>184</v>
      </c>
      <c r="F94"/>
      <c r="G94" t="str">
        <f t="shared" si="5"/>
        <v>Azul</v>
      </c>
      <c r="H94" t="e">
        <f>IF(G94="Rojas",VLOOKUP(F94,#REF!,3,TRUE),IF(G94="Azul",VLOOKUP(F94,#REF!,3,TRUE),VLOOKUP(F94,#REF!,3,TRUE)))</f>
        <v>#REF!</v>
      </c>
      <c r="I94" s="9">
        <f>IFERROR(VLOOKUP(C94,Palmares!#REF!,4,FALSE),0)</f>
        <v>0</v>
      </c>
    </row>
    <row r="95" spans="1:9" ht="15.6" x14ac:dyDescent="0.3">
      <c r="A95" s="37" t="s">
        <v>9</v>
      </c>
      <c r="C95" s="1">
        <v>5393</v>
      </c>
      <c r="D95" s="2" t="s">
        <v>185</v>
      </c>
      <c r="E95" s="2" t="s">
        <v>83</v>
      </c>
      <c r="F95"/>
      <c r="G95" t="str">
        <f t="shared" si="5"/>
        <v>Azul</v>
      </c>
      <c r="H95" t="e">
        <f>IF(G95="Rojas",VLOOKUP(F95,#REF!,3,TRUE),IF(G95="Azul",VLOOKUP(F95,#REF!,3,TRUE),VLOOKUP(F95,#REF!,3,TRUE)))</f>
        <v>#REF!</v>
      </c>
      <c r="I95" s="9">
        <f>IFERROR(VLOOKUP(C95,Palmares!#REF!,4,FALSE),0)</f>
        <v>0</v>
      </c>
    </row>
    <row r="96" spans="1:9" ht="15.6" x14ac:dyDescent="0.3">
      <c r="A96" s="2" t="s">
        <v>17</v>
      </c>
      <c r="C96" s="1">
        <v>17558</v>
      </c>
      <c r="D96" s="2" t="s">
        <v>333</v>
      </c>
      <c r="E96" s="2" t="s">
        <v>334</v>
      </c>
      <c r="F96">
        <v>28.3</v>
      </c>
      <c r="G96" t="str">
        <f t="shared" si="5"/>
        <v>Blanca</v>
      </c>
      <c r="H96" t="e">
        <f>IF(G96="Rojas",VLOOKUP(F96,#REF!,3,TRUE),IF(G96="Azul",VLOOKUP(F96,#REF!,3,TRUE),VLOOKUP(F96,#REF!,3,TRUE)))</f>
        <v>#REF!</v>
      </c>
      <c r="I96" s="9">
        <f>IFERROR(VLOOKUP(C96,Palmares!#REF!,4,FALSE),0)</f>
        <v>0</v>
      </c>
    </row>
    <row r="97" spans="1:9" ht="15.6" x14ac:dyDescent="0.3">
      <c r="A97" s="34" t="s">
        <v>51</v>
      </c>
      <c r="C97" s="1">
        <v>31740</v>
      </c>
      <c r="D97" s="2" t="s">
        <v>186</v>
      </c>
      <c r="E97" s="2" t="s">
        <v>187</v>
      </c>
      <c r="F97">
        <v>27.7</v>
      </c>
      <c r="G97" t="str">
        <f>IF(A97="Damas","Rojas",IF(F97&lt;18.8,"Azul","Blanca"))</f>
        <v>Rojas</v>
      </c>
      <c r="H97" t="e">
        <f>IF(G97="Rojas",VLOOKUP(F97,#REF!,3,TRUE),IF(G97="Azul",VLOOKUP(F97,#REF!,3,TRUE),VLOOKUP(F97,#REF!,3,TRUE)))</f>
        <v>#REF!</v>
      </c>
      <c r="I97" s="9">
        <f>IFERROR(VLOOKUP(C97,Palmares!#REF!,4,FALSE),0)</f>
        <v>0</v>
      </c>
    </row>
    <row r="98" spans="1:9" ht="15.6" x14ac:dyDescent="0.3">
      <c r="A98" s="37" t="s">
        <v>51</v>
      </c>
      <c r="B98">
        <v>4</v>
      </c>
      <c r="C98" s="1">
        <v>14715</v>
      </c>
      <c r="D98" s="39" t="s">
        <v>339</v>
      </c>
      <c r="E98" s="2" t="s">
        <v>340</v>
      </c>
      <c r="F98" s="9">
        <v>13.3</v>
      </c>
      <c r="G98" t="str">
        <f>IF(A98="Damas","Rojas",IF(F98&lt;18.8,"Azul","Blanca"))</f>
        <v>Rojas</v>
      </c>
      <c r="H98" t="e">
        <f>IF(G98="Rojas",VLOOKUP(F98,#REF!,3,TRUE),IF(G98="Azul",VLOOKUP(F98,#REF!,3,TRUE),VLOOKUP(F98,#REF!,3,TRUE)))</f>
        <v>#REF!</v>
      </c>
      <c r="I98" s="9">
        <f>IFERROR(VLOOKUP(C98,Palmares!#REF!,4,FALSE),0)</f>
        <v>0</v>
      </c>
    </row>
    <row r="99" spans="1:9" ht="15.6" x14ac:dyDescent="0.3">
      <c r="A99" s="2" t="s">
        <v>17</v>
      </c>
      <c r="C99" s="3">
        <v>33476</v>
      </c>
      <c r="D99" s="2" t="s">
        <v>166</v>
      </c>
      <c r="E99" s="2" t="s">
        <v>167</v>
      </c>
      <c r="F99" s="9">
        <v>27.2</v>
      </c>
      <c r="G99" t="str">
        <f>IF(A99="Damas","Rojas",IF(F99&lt;18.8,"Azul","Blanca"))</f>
        <v>Blanca</v>
      </c>
      <c r="H99" t="e">
        <f>IF(G99="Rojas",VLOOKUP(F99,#REF!,3,TRUE),IF(G99="Azul",VLOOKUP(F99,#REF!,3,TRUE),VLOOKUP(F99,#REF!,3,TRUE)))</f>
        <v>#REF!</v>
      </c>
      <c r="I99" s="9">
        <f>IFERROR(VLOOKUP(C99,Palmares!#REF!,4,FALSE),0)</f>
        <v>0</v>
      </c>
    </row>
    <row r="100" spans="1:9" ht="15.6" x14ac:dyDescent="0.3">
      <c r="A100" s="2" t="s">
        <v>9</v>
      </c>
      <c r="C100" s="1">
        <v>21041</v>
      </c>
      <c r="D100" s="2" t="s">
        <v>192</v>
      </c>
      <c r="E100" s="2" t="s">
        <v>29</v>
      </c>
      <c r="F100"/>
      <c r="G100" t="str">
        <f>+IF(F100&lt;18.8,"Azul","Blanca")</f>
        <v>Azul</v>
      </c>
      <c r="H100" t="e">
        <f>IF(G100="Rojas",VLOOKUP(F100,#REF!,3,TRUE),IF(G100="Azul",VLOOKUP(F100,#REF!,3,TRUE),VLOOKUP(F100,#REF!,3,TRUE)))</f>
        <v>#REF!</v>
      </c>
      <c r="I100" s="9">
        <f>IFERROR(VLOOKUP(C100,Palmares!#REF!,4,FALSE),0)</f>
        <v>0</v>
      </c>
    </row>
    <row r="101" spans="1:9" ht="15.6" x14ac:dyDescent="0.3">
      <c r="A101" s="38" t="s">
        <v>17</v>
      </c>
      <c r="B101">
        <v>4</v>
      </c>
      <c r="C101" s="1">
        <v>30572</v>
      </c>
      <c r="D101" s="39" t="s">
        <v>225</v>
      </c>
      <c r="E101" s="2" t="s">
        <v>226</v>
      </c>
      <c r="F101" s="9">
        <v>19.399999999999999</v>
      </c>
      <c r="G101" t="str">
        <f>+IF(F101&lt;18.8,"Azul","Blanca")</f>
        <v>Blanca</v>
      </c>
      <c r="H101" t="e">
        <f>IF(G101="Rojas",VLOOKUP(F101,#REF!,3,TRUE),IF(G101="Azul",VLOOKUP(F101,#REF!,3,TRUE),VLOOKUP(F101,#REF!,3,TRUE)))</f>
        <v>#REF!</v>
      </c>
      <c r="I101" s="9">
        <f>IFERROR(VLOOKUP(C101,Palmares!#REF!,4,FALSE),0)</f>
        <v>0</v>
      </c>
    </row>
    <row r="102" spans="1:9" ht="15.6" x14ac:dyDescent="0.3">
      <c r="A102" s="2" t="s">
        <v>17</v>
      </c>
      <c r="B102">
        <v>4</v>
      </c>
      <c r="C102" s="1">
        <v>16260</v>
      </c>
      <c r="D102" s="39" t="s">
        <v>270</v>
      </c>
      <c r="E102" s="2" t="s">
        <v>271</v>
      </c>
      <c r="F102" s="9">
        <v>21.1</v>
      </c>
      <c r="G102" t="str">
        <f>IF(A102="Damas","Rojas",IF(F102&lt;18.8,"Azul","Blanca"))</f>
        <v>Blanca</v>
      </c>
      <c r="H102" t="e">
        <f>IF(G102="Rojas",VLOOKUP(F102,#REF!,3,TRUE),IF(G102="Azul",VLOOKUP(F102,#REF!,3,TRUE),VLOOKUP(F102,#REF!,3,TRUE)))</f>
        <v>#REF!</v>
      </c>
      <c r="I102" s="9">
        <f>IFERROR(VLOOKUP(C102,Palmares!#REF!,4,FALSE),0)</f>
        <v>0</v>
      </c>
    </row>
    <row r="103" spans="1:9" ht="15.6" x14ac:dyDescent="0.3">
      <c r="A103" s="38" t="s">
        <v>9</v>
      </c>
      <c r="C103" s="36">
        <v>28152</v>
      </c>
      <c r="D103" s="2" t="s">
        <v>197</v>
      </c>
      <c r="E103" s="2" t="s">
        <v>198</v>
      </c>
      <c r="F103"/>
      <c r="G103" t="str">
        <f t="shared" ref="G103:G113" si="6">+IF(F103&lt;18.8,"Azul","Blanca")</f>
        <v>Azul</v>
      </c>
      <c r="H103" t="e">
        <f>IF(G103="Rojas",VLOOKUP(F103,#REF!,3,TRUE),IF(G103="Azul",VLOOKUP(F103,#REF!,3,TRUE),VLOOKUP(F103,#REF!,3,TRUE)))</f>
        <v>#REF!</v>
      </c>
      <c r="I103" s="9">
        <f>IFERROR(VLOOKUP(C103,Palmares!#REF!,4,FALSE),0)</f>
        <v>0</v>
      </c>
    </row>
    <row r="104" spans="1:9" ht="15.6" x14ac:dyDescent="0.3">
      <c r="A104" s="2" t="s">
        <v>9</v>
      </c>
      <c r="C104" s="1">
        <v>18834</v>
      </c>
      <c r="D104" s="2" t="s">
        <v>199</v>
      </c>
      <c r="E104" s="2" t="s">
        <v>200</v>
      </c>
      <c r="F104"/>
      <c r="G104" t="str">
        <f t="shared" si="6"/>
        <v>Azul</v>
      </c>
      <c r="H104" t="e">
        <f>IF(G104="Rojas",VLOOKUP(F104,#REF!,3,TRUE),IF(G104="Azul",VLOOKUP(F104,#REF!,3,TRUE),VLOOKUP(F104,#REF!,3,TRUE)))</f>
        <v>#REF!</v>
      </c>
      <c r="I104" s="9">
        <f>IFERROR(VLOOKUP(C104,Palmares!#REF!,4,FALSE),0)</f>
        <v>0</v>
      </c>
    </row>
    <row r="105" spans="1:9" ht="15.6" x14ac:dyDescent="0.3">
      <c r="A105" s="2" t="s">
        <v>9</v>
      </c>
      <c r="C105" s="1">
        <v>28519</v>
      </c>
      <c r="D105" s="2" t="s">
        <v>201</v>
      </c>
      <c r="E105" s="2" t="s">
        <v>202</v>
      </c>
      <c r="F105"/>
      <c r="G105" t="str">
        <f t="shared" si="6"/>
        <v>Azul</v>
      </c>
      <c r="H105" t="e">
        <f>IF(G105="Rojas",VLOOKUP(F105,#REF!,3,TRUE),IF(G105="Azul",VLOOKUP(F105,#REF!,3,TRUE),VLOOKUP(F105,#REF!,3,TRUE)))</f>
        <v>#REF!</v>
      </c>
      <c r="I105" s="9">
        <f>IFERROR(VLOOKUP(C105,Palmares!#REF!,4,FALSE),0)</f>
        <v>0</v>
      </c>
    </row>
    <row r="106" spans="1:9" ht="15.6" x14ac:dyDescent="0.3">
      <c r="A106" s="34" t="s">
        <v>9</v>
      </c>
      <c r="C106" s="1">
        <v>28707</v>
      </c>
      <c r="D106" s="2" t="s">
        <v>203</v>
      </c>
      <c r="E106" s="2" t="s">
        <v>204</v>
      </c>
      <c r="F106"/>
      <c r="G106" t="str">
        <f t="shared" si="6"/>
        <v>Azul</v>
      </c>
      <c r="H106" t="e">
        <f>IF(G106="Rojas",VLOOKUP(F106,#REF!,3,TRUE),IF(G106="Azul",VLOOKUP(F106,#REF!,3,TRUE),VLOOKUP(F106,#REF!,3,TRUE)))</f>
        <v>#REF!</v>
      </c>
      <c r="I106" s="9">
        <f>IFERROR(VLOOKUP(C106,Palmares!#REF!,4,FALSE),0)</f>
        <v>0</v>
      </c>
    </row>
    <row r="107" spans="1:9" ht="15.6" x14ac:dyDescent="0.3">
      <c r="A107" s="35" t="s">
        <v>9</v>
      </c>
      <c r="C107" s="1">
        <v>666669</v>
      </c>
      <c r="D107" s="2" t="s">
        <v>205</v>
      </c>
      <c r="E107" s="2" t="s">
        <v>19</v>
      </c>
      <c r="F107"/>
      <c r="G107" t="str">
        <f t="shared" si="6"/>
        <v>Azul</v>
      </c>
      <c r="H107" t="e">
        <f>IF(G107="Rojas",VLOOKUP(F107,#REF!,3,TRUE),IF(G107="Azul",VLOOKUP(F107,#REF!,3,TRUE),VLOOKUP(F107,#REF!,3,TRUE)))</f>
        <v>#REF!</v>
      </c>
      <c r="I107" s="9">
        <f>IFERROR(VLOOKUP(C107,Palmares!#REF!,4,FALSE),0)</f>
        <v>0</v>
      </c>
    </row>
    <row r="108" spans="1:9" ht="15.6" x14ac:dyDescent="0.3">
      <c r="A108" s="37" t="s">
        <v>9</v>
      </c>
      <c r="C108" s="1">
        <v>18068</v>
      </c>
      <c r="D108" s="2" t="s">
        <v>206</v>
      </c>
      <c r="E108" s="2" t="s">
        <v>207</v>
      </c>
      <c r="F108"/>
      <c r="G108" t="str">
        <f t="shared" si="6"/>
        <v>Azul</v>
      </c>
      <c r="H108" t="e">
        <f>IF(G108="Rojas",VLOOKUP(F108,#REF!,3,TRUE),IF(G108="Azul",VLOOKUP(F108,#REF!,3,TRUE),VLOOKUP(F108,#REF!,3,TRUE)))</f>
        <v>#REF!</v>
      </c>
      <c r="I108" s="9">
        <f>IFERROR(VLOOKUP(C108,Palmares!#REF!,4,FALSE),0)</f>
        <v>0</v>
      </c>
    </row>
    <row r="109" spans="1:9" ht="15.6" x14ac:dyDescent="0.3">
      <c r="A109" s="2" t="s">
        <v>9</v>
      </c>
      <c r="C109" s="1">
        <v>16589</v>
      </c>
      <c r="D109" s="2" t="s">
        <v>208</v>
      </c>
      <c r="E109" s="2" t="s">
        <v>209</v>
      </c>
      <c r="F109"/>
      <c r="G109" t="str">
        <f t="shared" si="6"/>
        <v>Azul</v>
      </c>
      <c r="H109" t="e">
        <f>IF(G109="Rojas",VLOOKUP(F109,#REF!,3,TRUE),IF(G109="Azul",VLOOKUP(F109,#REF!,3,TRUE),VLOOKUP(F109,#REF!,3,TRUE)))</f>
        <v>#REF!</v>
      </c>
      <c r="I109" s="9">
        <f>IFERROR(VLOOKUP(C109,Palmares!#REF!,4,FALSE),0)</f>
        <v>0</v>
      </c>
    </row>
    <row r="110" spans="1:9" ht="15.6" x14ac:dyDescent="0.3">
      <c r="A110" s="38" t="s">
        <v>9</v>
      </c>
      <c r="C110" s="3">
        <v>66666</v>
      </c>
      <c r="D110" s="2" t="s">
        <v>210</v>
      </c>
      <c r="E110" s="2" t="s">
        <v>211</v>
      </c>
      <c r="F110"/>
      <c r="G110" t="str">
        <f t="shared" si="6"/>
        <v>Azul</v>
      </c>
      <c r="H110" t="e">
        <f>IF(G110="Rojas",VLOOKUP(F110,#REF!,3,TRUE),IF(G110="Azul",VLOOKUP(F110,#REF!,3,TRUE),VLOOKUP(F110,#REF!,3,TRUE)))</f>
        <v>#REF!</v>
      </c>
      <c r="I110" s="9">
        <f>IFERROR(VLOOKUP(C110,Palmares!#REF!,4,FALSE),0)</f>
        <v>0</v>
      </c>
    </row>
    <row r="111" spans="1:9" ht="15.6" x14ac:dyDescent="0.3">
      <c r="A111" s="2" t="s">
        <v>9</v>
      </c>
      <c r="C111" s="1">
        <v>7127</v>
      </c>
      <c r="D111" s="2" t="s">
        <v>212</v>
      </c>
      <c r="E111" s="2" t="s">
        <v>213</v>
      </c>
      <c r="F111"/>
      <c r="G111" t="str">
        <f t="shared" si="6"/>
        <v>Azul</v>
      </c>
      <c r="H111" t="e">
        <f>IF(G111="Rojas",VLOOKUP(F111,#REF!,3,TRUE),IF(G111="Azul",VLOOKUP(F111,#REF!,3,TRUE),VLOOKUP(F111,#REF!,3,TRUE)))</f>
        <v>#REF!</v>
      </c>
      <c r="I111" s="9">
        <f>IFERROR(VLOOKUP(C111,Palmares!#REF!,4,FALSE),0)</f>
        <v>0</v>
      </c>
    </row>
    <row r="112" spans="1:9" ht="15.6" x14ac:dyDescent="0.3">
      <c r="A112" s="34" t="s">
        <v>9</v>
      </c>
      <c r="C112" s="1">
        <v>7196</v>
      </c>
      <c r="D112" s="2" t="s">
        <v>214</v>
      </c>
      <c r="E112" s="2" t="s">
        <v>215</v>
      </c>
      <c r="F112"/>
      <c r="G112" t="str">
        <f t="shared" si="6"/>
        <v>Azul</v>
      </c>
      <c r="H112" t="e">
        <f>IF(G112="Rojas",VLOOKUP(F112,#REF!,3,TRUE),IF(G112="Azul",VLOOKUP(F112,#REF!,3,TRUE),VLOOKUP(F112,#REF!,3,TRUE)))</f>
        <v>#REF!</v>
      </c>
      <c r="I112" s="9">
        <f>IFERROR(VLOOKUP(C112,Palmares!#REF!,4,FALSE),0)</f>
        <v>0</v>
      </c>
    </row>
    <row r="113" spans="1:9" ht="15.6" x14ac:dyDescent="0.3">
      <c r="A113" s="35" t="s">
        <v>9</v>
      </c>
      <c r="C113" s="3">
        <v>7199</v>
      </c>
      <c r="D113" s="2" t="s">
        <v>216</v>
      </c>
      <c r="E113" s="2" t="s">
        <v>217</v>
      </c>
      <c r="F113"/>
      <c r="G113" t="str">
        <f t="shared" si="6"/>
        <v>Azul</v>
      </c>
      <c r="H113" t="e">
        <f>IF(G113="Rojas",VLOOKUP(F113,#REF!,3,TRUE),IF(G113="Azul",VLOOKUP(F113,#REF!,3,TRUE),VLOOKUP(F113,#REF!,3,TRUE)))</f>
        <v>#REF!</v>
      </c>
      <c r="I113" s="9">
        <f>IFERROR(VLOOKUP(C113,Palmares!#REF!,4,FALSE),0)</f>
        <v>0</v>
      </c>
    </row>
    <row r="114" spans="1:9" ht="15.6" x14ac:dyDescent="0.3">
      <c r="A114" s="35" t="s">
        <v>17</v>
      </c>
      <c r="B114">
        <v>5</v>
      </c>
      <c r="C114" s="4">
        <v>14084</v>
      </c>
      <c r="D114" s="39" t="s">
        <v>39</v>
      </c>
      <c r="E114" s="2" t="s">
        <v>40</v>
      </c>
      <c r="F114" s="9">
        <v>14.8</v>
      </c>
      <c r="G114" t="str">
        <f>IF(A114="Damas","Rojas",IF(F114&lt;18.8,"Azul","Blanca"))</f>
        <v>Azul</v>
      </c>
      <c r="H114" t="e">
        <f>IF(G114="Rojas",VLOOKUP(F114,#REF!,3,TRUE),IF(G114="Azul",VLOOKUP(F114,#REF!,3,TRUE),VLOOKUP(F114,#REF!,3,TRUE)))</f>
        <v>#REF!</v>
      </c>
      <c r="I114" s="9">
        <f>IFERROR(VLOOKUP(C114,Palmares!#REF!,4,FALSE),0)</f>
        <v>0</v>
      </c>
    </row>
    <row r="115" spans="1:9" ht="15.6" x14ac:dyDescent="0.3">
      <c r="A115" s="35" t="s">
        <v>9</v>
      </c>
      <c r="C115" s="1">
        <v>14556</v>
      </c>
      <c r="D115" s="2" t="s">
        <v>120</v>
      </c>
      <c r="E115" s="2" t="s">
        <v>156</v>
      </c>
      <c r="F115" s="9">
        <v>20</v>
      </c>
      <c r="G115" t="str">
        <f t="shared" ref="G115:G121" si="7">+IF(F115&lt;18.8,"Azul","Blanca")</f>
        <v>Blanca</v>
      </c>
      <c r="H115" t="e">
        <f>IF(G115="Rojas",VLOOKUP(F115,#REF!,3,TRUE),IF(G115="Azul",VLOOKUP(F115,#REF!,3,TRUE),VLOOKUP(F115,#REF!,3,TRUE)))</f>
        <v>#REF!</v>
      </c>
      <c r="I115" s="9">
        <f>IFERROR(VLOOKUP(C115,Palmares!#REF!,4,FALSE),0)</f>
        <v>0</v>
      </c>
    </row>
    <row r="116" spans="1:9" ht="15.6" x14ac:dyDescent="0.3">
      <c r="A116" s="37" t="s">
        <v>17</v>
      </c>
      <c r="C116" s="3">
        <v>34332</v>
      </c>
      <c r="D116" s="2" t="s">
        <v>157</v>
      </c>
      <c r="E116" s="2" t="s">
        <v>158</v>
      </c>
      <c r="F116" s="9">
        <v>23.1</v>
      </c>
      <c r="G116" t="str">
        <f t="shared" si="7"/>
        <v>Blanca</v>
      </c>
      <c r="H116" t="e">
        <f>IF(G116="Rojas",VLOOKUP(F116,#REF!,3,TRUE),IF(G116="Azul",VLOOKUP(F116,#REF!,3,TRUE),VLOOKUP(F116,#REF!,3,TRUE)))</f>
        <v>#REF!</v>
      </c>
      <c r="I116" s="9">
        <f>IFERROR(VLOOKUP(C116,Palmares!#REF!,4,FALSE),0)</f>
        <v>0</v>
      </c>
    </row>
    <row r="117" spans="1:9" ht="15.6" x14ac:dyDescent="0.3">
      <c r="A117" s="2" t="s">
        <v>9</v>
      </c>
      <c r="C117" s="1">
        <v>13625</v>
      </c>
      <c r="D117" s="2" t="s">
        <v>222</v>
      </c>
      <c r="E117" s="2" t="s">
        <v>223</v>
      </c>
      <c r="F117"/>
      <c r="G117" t="str">
        <f t="shared" si="7"/>
        <v>Azul</v>
      </c>
      <c r="H117" t="e">
        <f>IF(G117="Rojas",VLOOKUP(F117,#REF!,3,TRUE),IF(G117="Azul",VLOOKUP(F117,#REF!,3,TRUE),VLOOKUP(F117,#REF!,3,TRUE)))</f>
        <v>#REF!</v>
      </c>
      <c r="I117" s="9">
        <f>IFERROR(VLOOKUP(C117,Palmares!#REF!,4,FALSE),0)</f>
        <v>0</v>
      </c>
    </row>
    <row r="118" spans="1:9" ht="15.6" x14ac:dyDescent="0.3">
      <c r="A118" s="2" t="s">
        <v>9</v>
      </c>
      <c r="C118" s="1">
        <v>7344</v>
      </c>
      <c r="D118" s="2" t="s">
        <v>224</v>
      </c>
      <c r="E118" s="2" t="s">
        <v>174</v>
      </c>
      <c r="F118"/>
      <c r="G118" t="str">
        <f t="shared" si="7"/>
        <v>Azul</v>
      </c>
      <c r="H118" t="e">
        <f>IF(G118="Rojas",VLOOKUP(F118,#REF!,3,TRUE),IF(G118="Azul",VLOOKUP(F118,#REF!,3,TRUE),VLOOKUP(F118,#REF!,3,TRUE)))</f>
        <v>#REF!</v>
      </c>
      <c r="I118" s="9">
        <f>IFERROR(VLOOKUP(C118,Palmares!#REF!,4,FALSE),0)</f>
        <v>0</v>
      </c>
    </row>
    <row r="119" spans="1:9" ht="15.6" x14ac:dyDescent="0.3">
      <c r="A119" s="2" t="s">
        <v>17</v>
      </c>
      <c r="C119" s="1">
        <v>26953</v>
      </c>
      <c r="D119" s="2" t="s">
        <v>120</v>
      </c>
      <c r="E119" s="2" t="s">
        <v>121</v>
      </c>
      <c r="F119" s="9">
        <v>12.3</v>
      </c>
      <c r="G119" t="str">
        <f t="shared" si="7"/>
        <v>Azul</v>
      </c>
      <c r="H119" t="e">
        <f>IF(G119="Rojas",VLOOKUP(F119,#REF!,3,TRUE),IF(G119="Azul",VLOOKUP(F119,#REF!,3,TRUE),VLOOKUP(F119,#REF!,3,TRUE)))</f>
        <v>#REF!</v>
      </c>
      <c r="I119" s="9">
        <f>IFERROR(VLOOKUP(C119,Palmares!#REF!,4,FALSE),0)</f>
        <v>0</v>
      </c>
    </row>
    <row r="120" spans="1:9" ht="15.6" x14ac:dyDescent="0.3">
      <c r="A120" s="34" t="s">
        <v>9</v>
      </c>
      <c r="C120" s="1">
        <v>27975</v>
      </c>
      <c r="D120" s="2" t="s">
        <v>227</v>
      </c>
      <c r="E120" s="2" t="s">
        <v>228</v>
      </c>
      <c r="F120"/>
      <c r="G120" t="str">
        <f t="shared" si="7"/>
        <v>Azul</v>
      </c>
      <c r="H120" t="e">
        <f>IF(G120="Rojas",VLOOKUP(F120,#REF!,3,TRUE),IF(G120="Azul",VLOOKUP(F120,#REF!,3,TRUE),VLOOKUP(F120,#REF!,3,TRUE)))</f>
        <v>#REF!</v>
      </c>
      <c r="I120" s="9">
        <f>IFERROR(VLOOKUP(C120,Palmares!#REF!,4,FALSE),0)</f>
        <v>0</v>
      </c>
    </row>
    <row r="121" spans="1:9" ht="15.6" x14ac:dyDescent="0.3">
      <c r="A121" s="35" t="s">
        <v>9</v>
      </c>
      <c r="C121" s="36">
        <v>28921</v>
      </c>
      <c r="D121" s="2" t="s">
        <v>229</v>
      </c>
      <c r="E121" s="2" t="s">
        <v>230</v>
      </c>
      <c r="F121"/>
      <c r="G121" t="str">
        <f t="shared" si="7"/>
        <v>Azul</v>
      </c>
      <c r="H121" t="e">
        <f>IF(G121="Rojas",VLOOKUP(F121,#REF!,3,TRUE),IF(G121="Azul",VLOOKUP(F121,#REF!,3,TRUE),VLOOKUP(F121,#REF!,3,TRUE)))</f>
        <v>#REF!</v>
      </c>
      <c r="I121" s="9">
        <f>IFERROR(VLOOKUP(C121,Palmares!#REF!,4,FALSE),0)</f>
        <v>0</v>
      </c>
    </row>
    <row r="122" spans="1:9" ht="15.6" x14ac:dyDescent="0.3">
      <c r="A122" s="37" t="s">
        <v>17</v>
      </c>
      <c r="B122">
        <v>5</v>
      </c>
      <c r="C122" s="1">
        <v>30087</v>
      </c>
      <c r="D122" s="39" t="s">
        <v>149</v>
      </c>
      <c r="E122" s="2" t="s">
        <v>150</v>
      </c>
      <c r="F122" s="9">
        <v>16.100000000000001</v>
      </c>
      <c r="G122" t="str">
        <f>IF(A122="Damas","Rojas",IF(F122&lt;18.8,"Azul","Blanca"))</f>
        <v>Azul</v>
      </c>
      <c r="H122" t="e">
        <f>IF(G122="Rojas",VLOOKUP(F122,#REF!,3,TRUE),IF(G122="Azul",VLOOKUP(F122,#REF!,3,TRUE),VLOOKUP(F122,#REF!,3,TRUE)))</f>
        <v>#REF!</v>
      </c>
      <c r="I122" s="9">
        <f>IFERROR(VLOOKUP(C122,Palmares!#REF!,4,FALSE),0)</f>
        <v>0</v>
      </c>
    </row>
    <row r="123" spans="1:9" ht="15.6" x14ac:dyDescent="0.3">
      <c r="A123" s="2" t="s">
        <v>17</v>
      </c>
      <c r="C123" s="1">
        <v>22156</v>
      </c>
      <c r="D123" s="2" t="s">
        <v>231</v>
      </c>
      <c r="E123" s="2" t="s">
        <v>232</v>
      </c>
      <c r="F123" s="9">
        <v>23</v>
      </c>
      <c r="G123" t="str">
        <f>IF(A123="Damas","Rojas",IF(F123&lt;18.8,"Azul","Blanca"))</f>
        <v>Blanca</v>
      </c>
      <c r="H123" t="e">
        <f>IF(G123="Rojas",VLOOKUP(F123,#REF!,3,TRUE),IF(G123="Azul",VLOOKUP(F123,#REF!,3,TRUE),VLOOKUP(F123,#REF!,3,TRUE)))</f>
        <v>#REF!</v>
      </c>
      <c r="I123" s="9">
        <f>IFERROR(VLOOKUP(C123,Palmares!#REF!,4,FALSE),0)</f>
        <v>0</v>
      </c>
    </row>
    <row r="124" spans="1:9" ht="15.6" x14ac:dyDescent="0.3">
      <c r="A124" s="34" t="s">
        <v>9</v>
      </c>
      <c r="C124" s="1">
        <v>7875</v>
      </c>
      <c r="D124" s="2" t="s">
        <v>234</v>
      </c>
      <c r="E124" s="2" t="s">
        <v>119</v>
      </c>
      <c r="F124"/>
      <c r="G124" t="str">
        <f>+IF(F124&lt;18.8,"Azul","Blanca")</f>
        <v>Azul</v>
      </c>
      <c r="H124" t="e">
        <f>IF(G124="Rojas",VLOOKUP(F124,#REF!,3,TRUE),IF(G124="Azul",VLOOKUP(F124,#REF!,3,TRUE),VLOOKUP(F124,#REF!,3,TRUE)))</f>
        <v>#REF!</v>
      </c>
      <c r="I124" s="9">
        <f>IFERROR(VLOOKUP(C124,Palmares!#REF!,4,FALSE),0)</f>
        <v>0</v>
      </c>
    </row>
    <row r="125" spans="1:9" ht="15.6" x14ac:dyDescent="0.3">
      <c r="A125" s="35" t="s">
        <v>17</v>
      </c>
      <c r="C125" s="1">
        <v>30100</v>
      </c>
      <c r="D125" s="2" t="s">
        <v>310</v>
      </c>
      <c r="E125" s="2" t="s">
        <v>106</v>
      </c>
      <c r="F125" s="9">
        <v>28.8</v>
      </c>
      <c r="G125" t="str">
        <f>IF(A125="Damas","Rojas",IF(F125&lt;18.8,"Azul","Blanca"))</f>
        <v>Blanca</v>
      </c>
      <c r="H125" t="e">
        <f>IF(G125="Rojas",VLOOKUP(F125,#REF!,3,TRUE),IF(G125="Azul",VLOOKUP(F125,#REF!,3,TRUE),VLOOKUP(F125,#REF!,3,TRUE)))</f>
        <v>#REF!</v>
      </c>
      <c r="I125" s="9">
        <f>IFERROR(VLOOKUP(C125,Palmares!#REF!,4,FALSE),0)</f>
        <v>0</v>
      </c>
    </row>
    <row r="126" spans="1:9" ht="15.6" x14ac:dyDescent="0.3">
      <c r="A126" s="37" t="s">
        <v>9</v>
      </c>
      <c r="C126" s="1">
        <v>25596</v>
      </c>
      <c r="D126" s="2" t="s">
        <v>237</v>
      </c>
      <c r="E126" s="2" t="s">
        <v>238</v>
      </c>
      <c r="F126"/>
      <c r="G126" t="str">
        <f t="shared" ref="G126:G132" si="8">+IF(F126&lt;18.8,"Azul","Blanca")</f>
        <v>Azul</v>
      </c>
      <c r="H126" t="e">
        <f>IF(G126="Rojas",VLOOKUP(F126,#REF!,3,TRUE),IF(G126="Azul",VLOOKUP(F126,#REF!,3,TRUE),VLOOKUP(F126,#REF!,3,TRUE)))</f>
        <v>#REF!</v>
      </c>
      <c r="I126" s="9">
        <f>IFERROR(VLOOKUP(C126,Palmares!#REF!,4,FALSE),0)</f>
        <v>0</v>
      </c>
    </row>
    <row r="127" spans="1:9" ht="15.6" x14ac:dyDescent="0.3">
      <c r="A127" s="2" t="s">
        <v>9</v>
      </c>
      <c r="C127" s="1">
        <v>16326</v>
      </c>
      <c r="D127" s="2" t="s">
        <v>239</v>
      </c>
      <c r="E127" s="2" t="s">
        <v>174</v>
      </c>
      <c r="F127"/>
      <c r="G127" t="str">
        <f t="shared" si="8"/>
        <v>Azul</v>
      </c>
      <c r="H127" t="e">
        <f>IF(G127="Rojas",VLOOKUP(F127,#REF!,3,TRUE),IF(G127="Azul",VLOOKUP(F127,#REF!,3,TRUE),VLOOKUP(F127,#REF!,3,TRUE)))</f>
        <v>#REF!</v>
      </c>
      <c r="I127" s="9">
        <f>IFERROR(VLOOKUP(C127,Palmares!#REF!,4,FALSE),0)</f>
        <v>0</v>
      </c>
    </row>
    <row r="128" spans="1:9" ht="15.6" x14ac:dyDescent="0.3">
      <c r="A128" s="2" t="s">
        <v>17</v>
      </c>
      <c r="C128" s="1">
        <v>7891</v>
      </c>
      <c r="D128" s="2" t="s">
        <v>220</v>
      </c>
      <c r="E128" s="2" t="s">
        <v>221</v>
      </c>
      <c r="F128" s="9">
        <v>17.899999999999999</v>
      </c>
      <c r="G128" t="str">
        <f t="shared" si="8"/>
        <v>Azul</v>
      </c>
      <c r="H128" t="e">
        <f>IF(G128="Rojas",VLOOKUP(F128,#REF!,3,TRUE),IF(G128="Azul",VLOOKUP(F128,#REF!,3,TRUE),VLOOKUP(F128,#REF!,3,TRUE)))</f>
        <v>#REF!</v>
      </c>
      <c r="I128" s="9">
        <f>IFERROR(VLOOKUP(C128,Palmares!#REF!,4,FALSE),0)</f>
        <v>0</v>
      </c>
    </row>
    <row r="129" spans="1:9" ht="15.6" x14ac:dyDescent="0.3">
      <c r="A129" s="34" t="s">
        <v>9</v>
      </c>
      <c r="C129" s="1">
        <v>30453</v>
      </c>
      <c r="D129" s="2" t="s">
        <v>241</v>
      </c>
      <c r="E129" s="2" t="s">
        <v>242</v>
      </c>
      <c r="F129"/>
      <c r="G129" t="str">
        <f t="shared" si="8"/>
        <v>Azul</v>
      </c>
      <c r="H129" t="e">
        <f>IF(G129="Rojas",VLOOKUP(F129,#REF!,3,TRUE),IF(G129="Azul",VLOOKUP(F129,#REF!,3,TRUE),VLOOKUP(F129,#REF!,3,TRUE)))</f>
        <v>#REF!</v>
      </c>
      <c r="I129" s="9">
        <f>IFERROR(VLOOKUP(C129,Palmares!#REF!,4,FALSE),0)</f>
        <v>0</v>
      </c>
    </row>
    <row r="130" spans="1:9" ht="15.6" x14ac:dyDescent="0.3">
      <c r="A130" s="35" t="s">
        <v>9</v>
      </c>
      <c r="C130" s="3">
        <v>33138</v>
      </c>
      <c r="D130" s="2" t="s">
        <v>243</v>
      </c>
      <c r="E130" s="2" t="s">
        <v>244</v>
      </c>
      <c r="F130"/>
      <c r="G130" t="str">
        <f t="shared" si="8"/>
        <v>Azul</v>
      </c>
      <c r="H130" t="e">
        <f>IF(G130="Rojas",VLOOKUP(F130,#REF!,3,TRUE),IF(G130="Azul",VLOOKUP(F130,#REF!,3,TRUE),VLOOKUP(F130,#REF!,3,TRUE)))</f>
        <v>#REF!</v>
      </c>
      <c r="I130" s="9">
        <f>IFERROR(VLOOKUP(C130,Palmares!#REF!,4,FALSE),0)</f>
        <v>0</v>
      </c>
    </row>
    <row r="131" spans="1:9" ht="15.6" x14ac:dyDescent="0.3">
      <c r="A131" s="35" t="s">
        <v>9</v>
      </c>
      <c r="C131" s="1">
        <v>12724</v>
      </c>
      <c r="D131" s="2" t="s">
        <v>245</v>
      </c>
      <c r="E131" s="2" t="s">
        <v>246</v>
      </c>
      <c r="F131"/>
      <c r="G131" t="str">
        <f t="shared" si="8"/>
        <v>Azul</v>
      </c>
      <c r="H131" t="e">
        <f>IF(G131="Rojas",VLOOKUP(F131,#REF!,3,TRUE),IF(G131="Azul",VLOOKUP(F131,#REF!,3,TRUE),VLOOKUP(F131,#REF!,3,TRUE)))</f>
        <v>#REF!</v>
      </c>
      <c r="I131" s="9">
        <f>IFERROR(VLOOKUP(C131,Palmares!#REF!,4,FALSE),0)</f>
        <v>0</v>
      </c>
    </row>
    <row r="132" spans="1:9" ht="15.6" x14ac:dyDescent="0.3">
      <c r="A132" s="35" t="s">
        <v>9</v>
      </c>
      <c r="C132" s="1">
        <v>25333</v>
      </c>
      <c r="D132" s="2" t="s">
        <v>247</v>
      </c>
      <c r="E132" s="2" t="s">
        <v>248</v>
      </c>
      <c r="F132"/>
      <c r="G132" t="str">
        <f t="shared" si="8"/>
        <v>Azul</v>
      </c>
      <c r="H132" t="e">
        <f>IF(G132="Rojas",VLOOKUP(F132,#REF!,3,TRUE),IF(G132="Azul",VLOOKUP(F132,#REF!,3,TRUE),VLOOKUP(F132,#REF!,3,TRUE)))</f>
        <v>#REF!</v>
      </c>
      <c r="I132" s="9">
        <f>IFERROR(VLOOKUP(C132,Palmares!#REF!,4,FALSE),0)</f>
        <v>0</v>
      </c>
    </row>
    <row r="133" spans="1:9" ht="15.6" x14ac:dyDescent="0.3">
      <c r="A133" s="35" t="s">
        <v>17</v>
      </c>
      <c r="B133">
        <v>5</v>
      </c>
      <c r="C133" s="1">
        <v>20886</v>
      </c>
      <c r="D133" s="39" t="s">
        <v>258</v>
      </c>
      <c r="E133" s="2" t="s">
        <v>250</v>
      </c>
      <c r="F133" s="9">
        <v>22</v>
      </c>
      <c r="G133" t="str">
        <f>IF(A133="Damas","Rojas",IF(F133&lt;18.8,"Azul","Blanca"))</f>
        <v>Blanca</v>
      </c>
      <c r="H133" t="e">
        <f>IF(G133="Rojas",VLOOKUP(F133,#REF!,3,TRUE),IF(G133="Azul",VLOOKUP(F133,#REF!,3,TRUE),VLOOKUP(F133,#REF!,3,TRUE)))</f>
        <v>#REF!</v>
      </c>
      <c r="I133" s="9">
        <f>IFERROR(VLOOKUP(C133,Palmares!#REF!,4,FALSE),0)</f>
        <v>0</v>
      </c>
    </row>
    <row r="134" spans="1:9" ht="15.6" x14ac:dyDescent="0.3">
      <c r="A134" s="37" t="s">
        <v>9</v>
      </c>
      <c r="C134" s="36">
        <v>26845</v>
      </c>
      <c r="D134" s="2" t="s">
        <v>251</v>
      </c>
      <c r="E134" s="2" t="s">
        <v>252</v>
      </c>
      <c r="F134"/>
      <c r="G134" t="str">
        <f t="shared" ref="G134:G145" si="9">+IF(F134&lt;18.8,"Azul","Blanca")</f>
        <v>Azul</v>
      </c>
      <c r="H134" t="e">
        <f>IF(G134="Rojas",VLOOKUP(F134,#REF!,3,TRUE),IF(G134="Azul",VLOOKUP(F134,#REF!,3,TRUE),VLOOKUP(F134,#REF!,3,TRUE)))</f>
        <v>#REF!</v>
      </c>
      <c r="I134" s="9">
        <f>IFERROR(VLOOKUP(C134,Palmares!#REF!,4,FALSE),0)</f>
        <v>0</v>
      </c>
    </row>
    <row r="135" spans="1:9" ht="15.6" x14ac:dyDescent="0.3">
      <c r="A135" s="2" t="s">
        <v>9</v>
      </c>
      <c r="C135" s="1">
        <v>8474</v>
      </c>
      <c r="D135" s="2" t="s">
        <v>253</v>
      </c>
      <c r="E135" s="2" t="s">
        <v>254</v>
      </c>
      <c r="F135"/>
      <c r="G135" t="str">
        <f t="shared" si="9"/>
        <v>Azul</v>
      </c>
      <c r="H135" t="e">
        <f>IF(G135="Rojas",VLOOKUP(F135,#REF!,3,TRUE),IF(G135="Azul",VLOOKUP(F135,#REF!,3,TRUE),VLOOKUP(F135,#REF!,3,TRUE)))</f>
        <v>#REF!</v>
      </c>
      <c r="I135" s="9">
        <f>IFERROR(VLOOKUP(C135,Palmares!#REF!,4,FALSE),0)</f>
        <v>0</v>
      </c>
    </row>
    <row r="136" spans="1:9" ht="15.6" x14ac:dyDescent="0.3">
      <c r="A136" s="2" t="s">
        <v>17</v>
      </c>
      <c r="C136" s="4">
        <v>25597</v>
      </c>
      <c r="D136" s="5" t="s">
        <v>240</v>
      </c>
      <c r="E136" s="5" t="s">
        <v>59</v>
      </c>
      <c r="F136" s="9">
        <v>18.7</v>
      </c>
      <c r="G136" t="str">
        <f t="shared" si="9"/>
        <v>Azul</v>
      </c>
      <c r="H136" t="e">
        <f>IF(G136="Rojas",VLOOKUP(F136,#REF!,3,TRUE),IF(G136="Azul",VLOOKUP(F136,#REF!,3,TRUE),VLOOKUP(F136,#REF!,3,TRUE)))</f>
        <v>#REF!</v>
      </c>
      <c r="I136" s="9">
        <f>IFERROR(VLOOKUP(C136,Palmares!#REF!,4,FALSE),0)</f>
        <v>0</v>
      </c>
    </row>
    <row r="137" spans="1:9" ht="15.6" x14ac:dyDescent="0.3">
      <c r="A137" s="34" t="s">
        <v>9</v>
      </c>
      <c r="C137" s="1">
        <v>8628</v>
      </c>
      <c r="D137" s="2" t="s">
        <v>256</v>
      </c>
      <c r="E137" s="2" t="s">
        <v>257</v>
      </c>
      <c r="F137"/>
      <c r="G137" t="str">
        <f t="shared" si="9"/>
        <v>Azul</v>
      </c>
      <c r="H137" t="e">
        <f>IF(G137="Rojas",VLOOKUP(F137,#REF!,3,TRUE),IF(G137="Azul",VLOOKUP(F137,#REF!,3,TRUE),VLOOKUP(F137,#REF!,3,TRUE)))</f>
        <v>#REF!</v>
      </c>
      <c r="I137" s="9">
        <f>IFERROR(VLOOKUP(C137,Palmares!#REF!,4,FALSE),0)</f>
        <v>0</v>
      </c>
    </row>
    <row r="138" spans="1:9" ht="15.6" x14ac:dyDescent="0.3">
      <c r="A138" s="37" t="s">
        <v>17</v>
      </c>
      <c r="B138">
        <v>5</v>
      </c>
      <c r="C138" s="1">
        <v>24283</v>
      </c>
      <c r="D138" s="39" t="s">
        <v>287</v>
      </c>
      <c r="E138" s="2" t="s">
        <v>288</v>
      </c>
      <c r="F138" s="9">
        <v>29.3</v>
      </c>
      <c r="G138" t="str">
        <f t="shared" si="9"/>
        <v>Blanca</v>
      </c>
      <c r="H138" t="e">
        <f>IF(G138="Rojas",VLOOKUP(F138,#REF!,3,TRUE),IF(G138="Azul",VLOOKUP(F138,#REF!,3,TRUE),VLOOKUP(F138,#REF!,3,TRUE)))</f>
        <v>#REF!</v>
      </c>
      <c r="I138" s="9">
        <f>IFERROR(VLOOKUP(C138,Palmares!#REF!,4,FALSE),0)</f>
        <v>0</v>
      </c>
    </row>
    <row r="139" spans="1:9" ht="15.6" x14ac:dyDescent="0.3">
      <c r="A139" s="2" t="s">
        <v>9</v>
      </c>
      <c r="C139" s="1">
        <v>16779</v>
      </c>
      <c r="D139" s="2" t="s">
        <v>259</v>
      </c>
      <c r="E139" s="2" t="s">
        <v>260</v>
      </c>
      <c r="F139"/>
      <c r="G139" t="str">
        <f t="shared" si="9"/>
        <v>Azul</v>
      </c>
      <c r="H139" t="e">
        <f>IF(G139="Rojas",VLOOKUP(F139,#REF!,3,TRUE),IF(G139="Azul",VLOOKUP(F139,#REF!,3,TRUE),VLOOKUP(F139,#REF!,3,TRUE)))</f>
        <v>#REF!</v>
      </c>
      <c r="I139" s="9">
        <f>IFERROR(VLOOKUP(C139,Palmares!#REF!,4,FALSE),0)</f>
        <v>0</v>
      </c>
    </row>
    <row r="140" spans="1:9" ht="15.6" x14ac:dyDescent="0.3">
      <c r="A140" s="2" t="s">
        <v>9</v>
      </c>
      <c r="C140" s="1">
        <v>17294</v>
      </c>
      <c r="D140" s="2" t="s">
        <v>259</v>
      </c>
      <c r="E140" s="2" t="s">
        <v>211</v>
      </c>
      <c r="F140"/>
      <c r="G140" t="str">
        <f t="shared" si="9"/>
        <v>Azul</v>
      </c>
      <c r="H140" t="e">
        <f>IF(G140="Rojas",VLOOKUP(F140,#REF!,3,TRUE),IF(G140="Azul",VLOOKUP(F140,#REF!,3,TRUE),VLOOKUP(F140,#REF!,3,TRUE)))</f>
        <v>#REF!</v>
      </c>
      <c r="I140" s="9">
        <f>IFERROR(VLOOKUP(C140,Palmares!#REF!,4,FALSE),0)</f>
        <v>0</v>
      </c>
    </row>
    <row r="141" spans="1:9" ht="15.6" x14ac:dyDescent="0.3">
      <c r="A141" s="34" t="s">
        <v>9</v>
      </c>
      <c r="C141" s="36">
        <v>8845</v>
      </c>
      <c r="D141" s="2" t="s">
        <v>261</v>
      </c>
      <c r="E141" s="2" t="s">
        <v>262</v>
      </c>
      <c r="F141"/>
      <c r="G141" t="str">
        <f t="shared" si="9"/>
        <v>Azul</v>
      </c>
      <c r="H141" t="e">
        <f>IF(G141="Rojas",VLOOKUP(F141,#REF!,3,TRUE),IF(G141="Azul",VLOOKUP(F141,#REF!,3,TRUE),VLOOKUP(F141,#REF!,3,TRUE)))</f>
        <v>#REF!</v>
      </c>
      <c r="I141" s="9">
        <f>IFERROR(VLOOKUP(C141,Palmares!#REF!,4,FALSE),0)</f>
        <v>0</v>
      </c>
    </row>
    <row r="142" spans="1:9" ht="15.6" x14ac:dyDescent="0.3">
      <c r="A142" s="37" t="s">
        <v>17</v>
      </c>
      <c r="C142" s="1">
        <v>21865</v>
      </c>
      <c r="D142" s="2" t="s">
        <v>107</v>
      </c>
      <c r="E142" s="2" t="s">
        <v>108</v>
      </c>
      <c r="F142" s="9">
        <v>15.9</v>
      </c>
      <c r="G142" t="str">
        <f t="shared" si="9"/>
        <v>Azul</v>
      </c>
      <c r="H142" t="e">
        <f>IF(G142="Rojas",VLOOKUP(F142,#REF!,3,TRUE),IF(G142="Azul",VLOOKUP(F142,#REF!,3,TRUE),VLOOKUP(F142,#REF!,3,TRUE)))</f>
        <v>#REF!</v>
      </c>
      <c r="I142" s="9">
        <f>IFERROR(VLOOKUP(C142,Palmares!#REF!,4,FALSE),0)</f>
        <v>0</v>
      </c>
    </row>
    <row r="143" spans="1:9" ht="15.6" x14ac:dyDescent="0.3">
      <c r="A143" s="2" t="s">
        <v>9</v>
      </c>
      <c r="C143" s="1">
        <v>9165</v>
      </c>
      <c r="D143" s="2" t="s">
        <v>265</v>
      </c>
      <c r="E143" s="2" t="s">
        <v>266</v>
      </c>
      <c r="F143"/>
      <c r="G143" t="str">
        <f t="shared" si="9"/>
        <v>Azul</v>
      </c>
      <c r="H143" t="e">
        <f>IF(G143="Rojas",VLOOKUP(F143,#REF!,3,TRUE),IF(G143="Azul",VLOOKUP(F143,#REF!,3,TRUE),VLOOKUP(F143,#REF!,3,TRUE)))</f>
        <v>#REF!</v>
      </c>
      <c r="I143" s="9">
        <f>IFERROR(VLOOKUP(C143,Palmares!#REF!,4,FALSE),0)</f>
        <v>0</v>
      </c>
    </row>
    <row r="144" spans="1:9" ht="15.6" x14ac:dyDescent="0.3">
      <c r="A144" s="34" t="s">
        <v>9</v>
      </c>
      <c r="C144" s="1">
        <v>31819</v>
      </c>
      <c r="D144" s="2" t="s">
        <v>267</v>
      </c>
      <c r="E144" s="2" t="s">
        <v>268</v>
      </c>
      <c r="F144"/>
      <c r="G144" t="str">
        <f t="shared" si="9"/>
        <v>Azul</v>
      </c>
      <c r="H144" t="e">
        <f>IF(G144="Rojas",VLOOKUP(F144,#REF!,3,TRUE),IF(G144="Azul",VLOOKUP(F144,#REF!,3,TRUE),VLOOKUP(F144,#REF!,3,TRUE)))</f>
        <v>#REF!</v>
      </c>
      <c r="I144" s="9">
        <f>IFERROR(VLOOKUP(C144,Palmares!#REF!,4,FALSE),0)</f>
        <v>0</v>
      </c>
    </row>
    <row r="145" spans="1:9" ht="15.6" x14ac:dyDescent="0.3">
      <c r="A145" s="37" t="s">
        <v>9</v>
      </c>
      <c r="C145" s="1">
        <v>9171</v>
      </c>
      <c r="D145" s="2" t="s">
        <v>269</v>
      </c>
      <c r="E145" s="2" t="s">
        <v>266</v>
      </c>
      <c r="F145"/>
      <c r="G145" t="str">
        <f t="shared" si="9"/>
        <v>Azul</v>
      </c>
      <c r="H145" t="e">
        <f>IF(G145="Rojas",VLOOKUP(F145,#REF!,3,TRUE),IF(G145="Azul",VLOOKUP(F145,#REF!,3,TRUE),VLOOKUP(F145,#REF!,3,TRUE)))</f>
        <v>#REF!</v>
      </c>
      <c r="I145" s="9">
        <f>IFERROR(VLOOKUP(C145,Palmares!#REF!,4,FALSE),0)</f>
        <v>0</v>
      </c>
    </row>
    <row r="146" spans="1:9" ht="15.6" x14ac:dyDescent="0.3">
      <c r="A146" s="2" t="s">
        <v>51</v>
      </c>
      <c r="C146" s="1">
        <v>27280</v>
      </c>
      <c r="D146" s="2" t="s">
        <v>263</v>
      </c>
      <c r="E146" s="2" t="s">
        <v>264</v>
      </c>
      <c r="F146" s="9">
        <v>30</v>
      </c>
      <c r="G146" t="str">
        <f>IF(A146="Damas","Rojas",IF(F146&lt;18.8,"Azul","Blanca"))</f>
        <v>Rojas</v>
      </c>
      <c r="H146" t="e">
        <f>IF(G146="Rojas",VLOOKUP(F146,#REF!,3,TRUE),IF(G146="Azul",VLOOKUP(F146,#REF!,3,TRUE),VLOOKUP(F146,#REF!,3,TRUE)))</f>
        <v>#REF!</v>
      </c>
      <c r="I146" s="9">
        <f>IFERROR(VLOOKUP(C146,Palmares!#REF!,4,FALSE),0)</f>
        <v>0</v>
      </c>
    </row>
    <row r="147" spans="1:9" ht="15.6" x14ac:dyDescent="0.3">
      <c r="A147" s="34" t="s">
        <v>51</v>
      </c>
      <c r="C147" s="1">
        <v>22617</v>
      </c>
      <c r="D147" s="2" t="s">
        <v>326</v>
      </c>
      <c r="E147" s="2" t="s">
        <v>327</v>
      </c>
      <c r="F147" s="9">
        <v>16.399999999999999</v>
      </c>
      <c r="G147" t="str">
        <f>IF(A147="Damas","Rojas",IF(F147&lt;18.8,"Azul","Blanca"))</f>
        <v>Rojas</v>
      </c>
      <c r="H147" t="e">
        <f>IF(G147="Rojas",VLOOKUP(F147,#REF!,3,TRUE),IF(G147="Azul",VLOOKUP(F147,#REF!,3,TRUE),VLOOKUP(F147,#REF!,3,TRUE)))</f>
        <v>#REF!</v>
      </c>
      <c r="I147" s="9">
        <f>IFERROR(VLOOKUP(C147,Palmares!#REF!,4,FALSE),0)</f>
        <v>0</v>
      </c>
    </row>
    <row r="148" spans="1:9" ht="15.6" x14ac:dyDescent="0.3">
      <c r="A148" s="35" t="s">
        <v>17</v>
      </c>
      <c r="C148" s="1">
        <v>21866</v>
      </c>
      <c r="D148" s="2" t="s">
        <v>255</v>
      </c>
      <c r="E148" s="2" t="s">
        <v>223</v>
      </c>
      <c r="F148" s="9">
        <v>21</v>
      </c>
      <c r="G148" t="str">
        <f>+IF(F148&lt;18.8,"Azul","Blanca")</f>
        <v>Blanca</v>
      </c>
      <c r="H148" t="e">
        <f>IF(G148="Rojas",VLOOKUP(F148,#REF!,3,TRUE),IF(G148="Azul",VLOOKUP(F148,#REF!,3,TRUE),VLOOKUP(F148,#REF!,3,TRUE)))</f>
        <v>#REF!</v>
      </c>
      <c r="I148" s="9">
        <f>IFERROR(VLOOKUP(C148,Palmares!#REF!,4,FALSE),0)</f>
        <v>0</v>
      </c>
    </row>
    <row r="149" spans="1:9" ht="15.6" x14ac:dyDescent="0.3">
      <c r="A149" s="35" t="s">
        <v>17</v>
      </c>
      <c r="C149" s="1">
        <v>27233</v>
      </c>
      <c r="D149" s="2" t="s">
        <v>193</v>
      </c>
      <c r="E149" s="2" t="s">
        <v>194</v>
      </c>
      <c r="F149" s="9">
        <v>28.7</v>
      </c>
      <c r="G149" t="str">
        <f>IF(A149="Damas","Rojas",IF(F149&lt;18.8,"Azul","Blanca"))</f>
        <v>Blanca</v>
      </c>
      <c r="H149" t="e">
        <f>IF(G149="Rojas",VLOOKUP(F149,#REF!,3,TRUE),IF(G149="Azul",VLOOKUP(F149,#REF!,3,TRUE),VLOOKUP(F149,#REF!,3,TRUE)))</f>
        <v>#REF!</v>
      </c>
      <c r="I149" s="9">
        <f>IFERROR(VLOOKUP(C149,Palmares!#REF!,4,FALSE),0)</f>
        <v>0</v>
      </c>
    </row>
    <row r="150" spans="1:9" ht="15.6" x14ac:dyDescent="0.3">
      <c r="A150" s="35" t="s">
        <v>9</v>
      </c>
      <c r="C150" s="1">
        <v>22405</v>
      </c>
      <c r="D150" s="2" t="s">
        <v>278</v>
      </c>
      <c r="E150" s="2" t="s">
        <v>279</v>
      </c>
      <c r="F150"/>
      <c r="G150" t="str">
        <f t="shared" ref="G150:G155" si="10">+IF(F150&lt;18.8,"Azul","Blanca")</f>
        <v>Azul</v>
      </c>
      <c r="H150" t="e">
        <f>IF(G150="Rojas",VLOOKUP(F150,#REF!,3,TRUE),IF(G150="Azul",VLOOKUP(F150,#REF!,3,TRUE),VLOOKUP(F150,#REF!,3,TRUE)))</f>
        <v>#REF!</v>
      </c>
      <c r="I150" s="9">
        <f>IFERROR(VLOOKUP(C150,Palmares!#REF!,4,FALSE),0)</f>
        <v>0</v>
      </c>
    </row>
    <row r="151" spans="1:9" ht="15.6" x14ac:dyDescent="0.3">
      <c r="A151" s="35" t="s">
        <v>9</v>
      </c>
      <c r="C151" s="1">
        <v>99999</v>
      </c>
      <c r="D151" s="2" t="s">
        <v>280</v>
      </c>
      <c r="E151" s="2" t="s">
        <v>61</v>
      </c>
      <c r="F151"/>
      <c r="G151" t="str">
        <f t="shared" si="10"/>
        <v>Azul</v>
      </c>
      <c r="H151" t="e">
        <f>IF(G151="Rojas",VLOOKUP(F151,#REF!,3,TRUE),IF(G151="Azul",VLOOKUP(F151,#REF!,3,TRUE),VLOOKUP(F151,#REF!,3,TRUE)))</f>
        <v>#REF!</v>
      </c>
      <c r="I151" s="9">
        <f>IFERROR(VLOOKUP(C151,Palmares!#REF!,4,FALSE),0)</f>
        <v>0</v>
      </c>
    </row>
    <row r="152" spans="1:9" ht="15.6" x14ac:dyDescent="0.3">
      <c r="A152" s="37" t="s">
        <v>9</v>
      </c>
      <c r="C152" s="1">
        <v>18094</v>
      </c>
      <c r="D152" s="2" t="s">
        <v>281</v>
      </c>
      <c r="E152" s="2" t="s">
        <v>282</v>
      </c>
      <c r="F152"/>
      <c r="G152" t="str">
        <f t="shared" si="10"/>
        <v>Azul</v>
      </c>
      <c r="H152" t="e">
        <f>IF(G152="Rojas",VLOOKUP(F152,#REF!,3,TRUE),IF(G152="Azul",VLOOKUP(F152,#REF!,3,TRUE),VLOOKUP(F152,#REF!,3,TRUE)))</f>
        <v>#REF!</v>
      </c>
      <c r="I152" s="9">
        <f>IFERROR(VLOOKUP(C152,Palmares!#REF!,4,FALSE),0)</f>
        <v>0</v>
      </c>
    </row>
    <row r="153" spans="1:9" ht="15.6" x14ac:dyDescent="0.3">
      <c r="A153" s="2" t="s">
        <v>9</v>
      </c>
      <c r="C153" s="1">
        <v>9530</v>
      </c>
      <c r="D153" s="2" t="s">
        <v>283</v>
      </c>
      <c r="E153" s="2" t="s">
        <v>284</v>
      </c>
      <c r="F153"/>
      <c r="G153" t="str">
        <f t="shared" si="10"/>
        <v>Azul</v>
      </c>
      <c r="H153" t="e">
        <f>IF(G153="Rojas",VLOOKUP(F153,#REF!,3,TRUE),IF(G153="Azul",VLOOKUP(F153,#REF!,3,TRUE),VLOOKUP(F153,#REF!,3,TRUE)))</f>
        <v>#REF!</v>
      </c>
      <c r="I153" s="9">
        <f>IFERROR(VLOOKUP(C153,Palmares!#REF!,4,FALSE),0)</f>
        <v>0</v>
      </c>
    </row>
    <row r="154" spans="1:9" ht="15.6" x14ac:dyDescent="0.3">
      <c r="A154" s="34" t="s">
        <v>17</v>
      </c>
      <c r="C154" s="1">
        <v>28706</v>
      </c>
      <c r="D154" s="2" t="s">
        <v>276</v>
      </c>
      <c r="E154" s="2" t="s">
        <v>277</v>
      </c>
      <c r="F154" s="9">
        <v>18.7</v>
      </c>
      <c r="G154" t="str">
        <f t="shared" si="10"/>
        <v>Azul</v>
      </c>
      <c r="H154" t="e">
        <f>IF(G154="Rojas",VLOOKUP(F154,#REF!,3,TRUE),IF(G154="Azul",VLOOKUP(F154,#REF!,3,TRUE),VLOOKUP(F154,#REF!,3,TRUE)))</f>
        <v>#REF!</v>
      </c>
      <c r="I154" s="9">
        <f>IFERROR(VLOOKUP(C154,Palmares!#REF!,4,FALSE),0)</f>
        <v>0</v>
      </c>
    </row>
    <row r="155" spans="1:9" ht="15.6" x14ac:dyDescent="0.3">
      <c r="A155" s="37" t="s">
        <v>17</v>
      </c>
      <c r="B155">
        <v>6</v>
      </c>
      <c r="C155" s="4">
        <v>18908</v>
      </c>
      <c r="D155" s="39" t="s">
        <v>190</v>
      </c>
      <c r="E155" s="2" t="s">
        <v>88</v>
      </c>
      <c r="F155" s="9">
        <v>11.4</v>
      </c>
      <c r="G155" t="str">
        <f t="shared" si="10"/>
        <v>Azul</v>
      </c>
      <c r="H155" t="e">
        <f>IF(G155="Rojas",VLOOKUP(F155,#REF!,3,TRUE),IF(G155="Azul",VLOOKUP(F155,#REF!,3,TRUE),VLOOKUP(F155,#REF!,3,TRUE)))</f>
        <v>#REF!</v>
      </c>
      <c r="I155" s="9">
        <f>IFERROR(VLOOKUP(C155,Palmares!#REF!,4,FALSE),0)</f>
        <v>0</v>
      </c>
    </row>
    <row r="156" spans="1:9" ht="15.6" x14ac:dyDescent="0.3">
      <c r="A156" s="2" t="s">
        <v>17</v>
      </c>
      <c r="B156">
        <v>6</v>
      </c>
      <c r="C156" s="1">
        <v>4080</v>
      </c>
      <c r="D156" s="39" t="s">
        <v>191</v>
      </c>
      <c r="E156" s="2" t="s">
        <v>106</v>
      </c>
      <c r="F156" s="9">
        <v>12.4</v>
      </c>
      <c r="G156" t="str">
        <f>IF(A156="Damas","Rojas",IF(F156&lt;18.8,"Azul","Blanca"))</f>
        <v>Azul</v>
      </c>
      <c r="H156" t="e">
        <f>IF(G156="Rojas",VLOOKUP(F156,#REF!,3,TRUE),IF(G156="Azul",VLOOKUP(F156,#REF!,3,TRUE),VLOOKUP(F156,#REF!,3,TRUE)))</f>
        <v>#REF!</v>
      </c>
      <c r="I156" s="9">
        <f>IFERROR(VLOOKUP(C156,Palmares!#REF!,4,FALSE),0)</f>
        <v>0</v>
      </c>
    </row>
    <row r="157" spans="1:9" ht="15.6" x14ac:dyDescent="0.3">
      <c r="A157" s="38" t="s">
        <v>9</v>
      </c>
      <c r="C157" s="1">
        <v>20262</v>
      </c>
      <c r="D157" s="2" t="s">
        <v>291</v>
      </c>
      <c r="E157" s="2" t="s">
        <v>292</v>
      </c>
      <c r="F157"/>
      <c r="G157" t="str">
        <f t="shared" ref="G157:G171" si="11">+IF(F157&lt;18.8,"Azul","Blanca")</f>
        <v>Azul</v>
      </c>
      <c r="H157" t="e">
        <f>IF(G157="Rojas",VLOOKUP(F157,#REF!,3,TRUE),IF(G157="Azul",VLOOKUP(F157,#REF!,3,TRUE),VLOOKUP(F157,#REF!,3,TRUE)))</f>
        <v>#REF!</v>
      </c>
      <c r="I157" s="9">
        <f>IFERROR(VLOOKUP(C157,Palmares!#REF!,4,FALSE),0)</f>
        <v>0</v>
      </c>
    </row>
    <row r="158" spans="1:9" ht="15.6" x14ac:dyDescent="0.3">
      <c r="A158" s="2" t="s">
        <v>9</v>
      </c>
      <c r="C158" s="1">
        <v>22119</v>
      </c>
      <c r="D158" s="2" t="s">
        <v>293</v>
      </c>
      <c r="E158" s="2" t="s">
        <v>294</v>
      </c>
      <c r="F158"/>
      <c r="G158" t="str">
        <f t="shared" si="11"/>
        <v>Azul</v>
      </c>
      <c r="H158" t="e">
        <f>IF(G158="Rojas",VLOOKUP(F158,#REF!,3,TRUE),IF(G158="Azul",VLOOKUP(F158,#REF!,3,TRUE),VLOOKUP(F158,#REF!,3,TRUE)))</f>
        <v>#REF!</v>
      </c>
      <c r="I158" s="9">
        <f>IFERROR(VLOOKUP(C158,Palmares!#REF!,4,FALSE),0)</f>
        <v>0</v>
      </c>
    </row>
    <row r="159" spans="1:9" ht="15.6" x14ac:dyDescent="0.3">
      <c r="A159" s="34" t="s">
        <v>9</v>
      </c>
      <c r="C159" s="1">
        <v>20453</v>
      </c>
      <c r="D159" s="2" t="s">
        <v>295</v>
      </c>
      <c r="E159" s="2" t="s">
        <v>296</v>
      </c>
      <c r="F159"/>
      <c r="G159" t="str">
        <f t="shared" si="11"/>
        <v>Azul</v>
      </c>
      <c r="H159" t="e">
        <f>IF(G159="Rojas",VLOOKUP(F159,#REF!,3,TRUE),IF(G159="Azul",VLOOKUP(F159,#REF!,3,TRUE),VLOOKUP(F159,#REF!,3,TRUE)))</f>
        <v>#REF!</v>
      </c>
      <c r="I159" s="9">
        <f>IFERROR(VLOOKUP(C159,Palmares!#REF!,4,FALSE),0)</f>
        <v>0</v>
      </c>
    </row>
    <row r="160" spans="1:9" ht="15.6" x14ac:dyDescent="0.3">
      <c r="A160" s="35" t="s">
        <v>9</v>
      </c>
      <c r="C160" s="1">
        <v>22320</v>
      </c>
      <c r="D160" s="2" t="s">
        <v>297</v>
      </c>
      <c r="E160" s="2" t="s">
        <v>298</v>
      </c>
      <c r="F160"/>
      <c r="G160" t="str">
        <f t="shared" si="11"/>
        <v>Azul</v>
      </c>
      <c r="H160" t="e">
        <f>IF(G160="Rojas",VLOOKUP(F160,#REF!,3,TRUE),IF(G160="Azul",VLOOKUP(F160,#REF!,3,TRUE),VLOOKUP(F160,#REF!,3,TRUE)))</f>
        <v>#REF!</v>
      </c>
      <c r="I160" s="9">
        <f>IFERROR(VLOOKUP(C160,Palmares!#REF!,4,FALSE),0)</f>
        <v>0</v>
      </c>
    </row>
    <row r="161" spans="1:9" ht="15.6" x14ac:dyDescent="0.3">
      <c r="A161" s="37" t="s">
        <v>9</v>
      </c>
      <c r="C161" s="1">
        <v>21160</v>
      </c>
      <c r="D161" s="2" t="s">
        <v>299</v>
      </c>
      <c r="E161" s="2" t="s">
        <v>300</v>
      </c>
      <c r="F161"/>
      <c r="G161" t="str">
        <f t="shared" si="11"/>
        <v>Azul</v>
      </c>
      <c r="H161" t="e">
        <f>IF(G161="Rojas",VLOOKUP(F161,#REF!,3,TRUE),IF(G161="Azul",VLOOKUP(F161,#REF!,3,TRUE),VLOOKUP(F161,#REF!,3,TRUE)))</f>
        <v>#REF!</v>
      </c>
      <c r="I161" s="9">
        <f>IFERROR(VLOOKUP(C161,Palmares!#REF!,4,FALSE),0)</f>
        <v>0</v>
      </c>
    </row>
    <row r="162" spans="1:9" ht="15.6" x14ac:dyDescent="0.3">
      <c r="A162" s="2" t="s">
        <v>9</v>
      </c>
      <c r="C162" s="1">
        <v>12811</v>
      </c>
      <c r="D162" s="2" t="s">
        <v>301</v>
      </c>
      <c r="E162" s="2" t="s">
        <v>99</v>
      </c>
      <c r="F162"/>
      <c r="G162" t="str">
        <f t="shared" si="11"/>
        <v>Azul</v>
      </c>
      <c r="H162" t="e">
        <f>IF(G162="Rojas",VLOOKUP(F162,#REF!,3,TRUE),IF(G162="Azul",VLOOKUP(F162,#REF!,3,TRUE),VLOOKUP(F162,#REF!,3,TRUE)))</f>
        <v>#REF!</v>
      </c>
      <c r="I162" s="9">
        <f>IFERROR(VLOOKUP(C162,Palmares!#REF!,4,FALSE),0)</f>
        <v>0</v>
      </c>
    </row>
    <row r="163" spans="1:9" ht="15.6" x14ac:dyDescent="0.3">
      <c r="A163" s="34" t="s">
        <v>17</v>
      </c>
      <c r="C163" s="1">
        <v>32238</v>
      </c>
      <c r="D163" s="2" t="s">
        <v>289</v>
      </c>
      <c r="E163" s="2" t="s">
        <v>290</v>
      </c>
      <c r="F163" s="9">
        <v>32.9</v>
      </c>
      <c r="G163" t="str">
        <f t="shared" si="11"/>
        <v>Blanca</v>
      </c>
      <c r="H163" t="e">
        <f>IF(G163="Rojas",VLOOKUP(F163,#REF!,3,TRUE),IF(G163="Azul",VLOOKUP(F163,#REF!,3,TRUE),VLOOKUP(F163,#REF!,3,TRUE)))</f>
        <v>#REF!</v>
      </c>
      <c r="I163" s="9">
        <f>IFERROR(VLOOKUP(C163,Palmares!#REF!,4,FALSE),0)</f>
        <v>0</v>
      </c>
    </row>
    <row r="164" spans="1:9" ht="15.6" x14ac:dyDescent="0.3">
      <c r="A164" s="35" t="s">
        <v>17</v>
      </c>
      <c r="C164" s="1">
        <v>20408</v>
      </c>
      <c r="D164" s="2" t="s">
        <v>302</v>
      </c>
      <c r="E164" s="2" t="s">
        <v>303</v>
      </c>
      <c r="F164" s="9">
        <v>18.7</v>
      </c>
      <c r="G164" t="str">
        <f t="shared" si="11"/>
        <v>Azul</v>
      </c>
      <c r="H164" t="e">
        <f>IF(G164="Rojas",VLOOKUP(F164,#REF!,3,TRUE),IF(G164="Azul",VLOOKUP(F164,#REF!,3,TRUE),VLOOKUP(F164,#REF!,3,TRUE)))</f>
        <v>#REF!</v>
      </c>
      <c r="I164" s="9">
        <f>IFERROR(VLOOKUP(C164,Palmares!#REF!,4,FALSE),0)</f>
        <v>0</v>
      </c>
    </row>
    <row r="165" spans="1:9" ht="15.6" x14ac:dyDescent="0.3">
      <c r="A165" s="35" t="s">
        <v>9</v>
      </c>
      <c r="C165" s="1">
        <v>9958</v>
      </c>
      <c r="D165" s="2" t="s">
        <v>306</v>
      </c>
      <c r="E165" s="2" t="s">
        <v>307</v>
      </c>
      <c r="F165"/>
      <c r="G165" t="str">
        <f t="shared" si="11"/>
        <v>Azul</v>
      </c>
      <c r="H165" t="e">
        <f>IF(G165="Rojas",VLOOKUP(F165,#REF!,3,TRUE),IF(G165="Azul",VLOOKUP(F165,#REF!,3,TRUE),VLOOKUP(F165,#REF!,3,TRUE)))</f>
        <v>#REF!</v>
      </c>
      <c r="I165" s="9">
        <f>IFERROR(VLOOKUP(C165,Palmares!#REF!,4,FALSE),0)</f>
        <v>0</v>
      </c>
    </row>
    <row r="166" spans="1:9" ht="15.6" x14ac:dyDescent="0.3">
      <c r="A166" s="35" t="s">
        <v>17</v>
      </c>
      <c r="C166" s="1">
        <v>13005</v>
      </c>
      <c r="D166" s="2" t="s">
        <v>304</v>
      </c>
      <c r="E166" s="2" t="s">
        <v>305</v>
      </c>
      <c r="F166" s="9">
        <v>14.6</v>
      </c>
      <c r="G166" t="str">
        <f t="shared" si="11"/>
        <v>Azul</v>
      </c>
      <c r="H166" t="e">
        <f>IF(G166="Rojas",VLOOKUP(F166,#REF!,3,TRUE),IF(G166="Azul",VLOOKUP(F166,#REF!,3,TRUE),VLOOKUP(F166,#REF!,3,TRUE)))</f>
        <v>#REF!</v>
      </c>
      <c r="I166" s="9">
        <f>IFERROR(VLOOKUP(C166,Palmares!#REF!,4,FALSE),0)</f>
        <v>0</v>
      </c>
    </row>
    <row r="167" spans="1:9" ht="15.6" x14ac:dyDescent="0.3">
      <c r="A167" s="37" t="s">
        <v>17</v>
      </c>
      <c r="C167" s="1">
        <v>36769</v>
      </c>
      <c r="D167" s="2" t="s">
        <v>308</v>
      </c>
      <c r="E167" s="2" t="s">
        <v>309</v>
      </c>
      <c r="F167" s="9">
        <v>37.1</v>
      </c>
      <c r="G167" t="str">
        <f t="shared" si="11"/>
        <v>Blanca</v>
      </c>
      <c r="H167" t="e">
        <f>IF(G167="Rojas",VLOOKUP(F167,#REF!,3,TRUE),IF(G167="Azul",VLOOKUP(F167,#REF!,3,TRUE),VLOOKUP(F167,#REF!,3,TRUE)))</f>
        <v>#REF!</v>
      </c>
      <c r="I167" s="9">
        <f>IFERROR(VLOOKUP(C167,Palmares!#REF!,4,FALSE),0)</f>
        <v>0</v>
      </c>
    </row>
    <row r="168" spans="1:9" ht="15.6" x14ac:dyDescent="0.3">
      <c r="A168" s="2" t="s">
        <v>17</v>
      </c>
      <c r="C168" s="1">
        <v>24140</v>
      </c>
      <c r="D168" s="2" t="s">
        <v>363</v>
      </c>
      <c r="E168" s="2" t="s">
        <v>119</v>
      </c>
      <c r="F168" s="9">
        <v>26.3</v>
      </c>
      <c r="G168" t="str">
        <f t="shared" si="11"/>
        <v>Blanca</v>
      </c>
      <c r="H168" t="e">
        <f>IF(G168="Rojas",VLOOKUP(F168,#REF!,3,TRUE),IF(G168="Azul",VLOOKUP(F168,#REF!,3,TRUE),VLOOKUP(F168,#REF!,3,TRUE)))</f>
        <v>#REF!</v>
      </c>
      <c r="I168" s="9">
        <f>IFERROR(VLOOKUP(C168,Palmares!#REF!,4,FALSE),0)</f>
        <v>0</v>
      </c>
    </row>
    <row r="169" spans="1:9" ht="15.6" x14ac:dyDescent="0.3">
      <c r="A169" s="2" t="s">
        <v>9</v>
      </c>
      <c r="C169" s="1">
        <v>22018</v>
      </c>
      <c r="D169" s="2" t="s">
        <v>313</v>
      </c>
      <c r="E169" s="2" t="s">
        <v>314</v>
      </c>
      <c r="F169"/>
      <c r="G169" t="str">
        <f t="shared" si="11"/>
        <v>Azul</v>
      </c>
      <c r="H169" t="e">
        <f>IF(G169="Rojas",VLOOKUP(F169,#REF!,3,TRUE),IF(G169="Azul",VLOOKUP(F169,#REF!,3,TRUE),VLOOKUP(F169,#REF!,3,TRUE)))</f>
        <v>#REF!</v>
      </c>
      <c r="I169" s="9">
        <f>IFERROR(VLOOKUP(C169,Palmares!#REF!,4,FALSE),0)</f>
        <v>0</v>
      </c>
    </row>
    <row r="170" spans="1:9" ht="15.6" x14ac:dyDescent="0.3">
      <c r="A170" s="34" t="s">
        <v>9</v>
      </c>
      <c r="C170" s="1">
        <v>20255</v>
      </c>
      <c r="D170" s="2" t="s">
        <v>315</v>
      </c>
      <c r="E170" s="2" t="s">
        <v>316</v>
      </c>
      <c r="F170"/>
      <c r="G170" t="str">
        <f t="shared" si="11"/>
        <v>Azul</v>
      </c>
      <c r="H170" t="e">
        <f>IF(G170="Rojas",VLOOKUP(F170,#REF!,3,TRUE),IF(G170="Azul",VLOOKUP(F170,#REF!,3,TRUE),VLOOKUP(F170,#REF!,3,TRUE)))</f>
        <v>#REF!</v>
      </c>
      <c r="I170" s="9">
        <f>IFERROR(VLOOKUP(C170,Palmares!#REF!,4,FALSE),0)</f>
        <v>0</v>
      </c>
    </row>
    <row r="171" spans="1:9" ht="15.6" x14ac:dyDescent="0.3">
      <c r="A171" s="35" t="s">
        <v>9</v>
      </c>
      <c r="C171" s="36">
        <v>20566</v>
      </c>
      <c r="D171" s="2" t="s">
        <v>317</v>
      </c>
      <c r="E171" s="2" t="s">
        <v>318</v>
      </c>
      <c r="F171"/>
      <c r="G171" t="str">
        <f t="shared" si="11"/>
        <v>Azul</v>
      </c>
      <c r="H171" t="e">
        <f>IF(G171="Rojas",VLOOKUP(F171,#REF!,3,TRUE),IF(G171="Azul",VLOOKUP(F171,#REF!,3,TRUE),VLOOKUP(F171,#REF!,3,TRUE)))</f>
        <v>#REF!</v>
      </c>
      <c r="I171" s="9">
        <f>IFERROR(VLOOKUP(C171,Palmares!#REF!,4,FALSE),0)</f>
        <v>0</v>
      </c>
    </row>
    <row r="172" spans="1:9" ht="15.6" x14ac:dyDescent="0.3">
      <c r="A172" s="37" t="s">
        <v>51</v>
      </c>
      <c r="C172" s="1">
        <v>23514</v>
      </c>
      <c r="D172" s="2" t="s">
        <v>311</v>
      </c>
      <c r="E172" s="2" t="s">
        <v>312</v>
      </c>
      <c r="F172" s="9">
        <v>18.899999999999999</v>
      </c>
      <c r="G172" t="str">
        <f>IF(A172="Damas","Rojas",IF(F172&lt;18.8,"Azul","Blanca"))</f>
        <v>Rojas</v>
      </c>
      <c r="H172" t="e">
        <f>IF(G172="Rojas",VLOOKUP(F172,#REF!,3,TRUE),IF(G172="Azul",VLOOKUP(F172,#REF!,3,TRUE),VLOOKUP(F172,#REF!,3,TRUE)))</f>
        <v>#REF!</v>
      </c>
      <c r="I172" s="9">
        <f>IFERROR(VLOOKUP(C172,Palmares!#REF!,4,FALSE),0)</f>
        <v>0</v>
      </c>
    </row>
    <row r="173" spans="1:9" ht="15.6" x14ac:dyDescent="0.3">
      <c r="A173" s="2" t="s">
        <v>9</v>
      </c>
      <c r="C173" s="1">
        <v>10492</v>
      </c>
      <c r="D173" s="2" t="s">
        <v>321</v>
      </c>
      <c r="E173" s="2" t="s">
        <v>322</v>
      </c>
      <c r="F173"/>
      <c r="G173" t="str">
        <f t="shared" ref="G173:G184" si="12">+IF(F173&lt;18.8,"Azul","Blanca")</f>
        <v>Azul</v>
      </c>
      <c r="H173" t="e">
        <f>IF(G173="Rojas",VLOOKUP(F173,#REF!,3,TRUE),IF(G173="Azul",VLOOKUP(F173,#REF!,3,TRUE),VLOOKUP(F173,#REF!,3,TRUE)))</f>
        <v>#REF!</v>
      </c>
      <c r="I173" s="9">
        <f>IFERROR(VLOOKUP(C173,Palmares!#REF!,4,FALSE),0)</f>
        <v>0</v>
      </c>
    </row>
    <row r="174" spans="1:9" ht="15.6" x14ac:dyDescent="0.3">
      <c r="A174" s="34" t="s">
        <v>9</v>
      </c>
      <c r="C174" s="1">
        <v>10488</v>
      </c>
      <c r="D174" s="2" t="s">
        <v>323</v>
      </c>
      <c r="E174" s="2" t="s">
        <v>31</v>
      </c>
      <c r="F174"/>
      <c r="G174" t="str">
        <f t="shared" si="12"/>
        <v>Azul</v>
      </c>
      <c r="H174" t="e">
        <f>IF(G174="Rojas",VLOOKUP(F174,#REF!,3,TRUE),IF(G174="Azul",VLOOKUP(F174,#REF!,3,TRUE),VLOOKUP(F174,#REF!,3,TRUE)))</f>
        <v>#REF!</v>
      </c>
      <c r="I174" s="9">
        <f>IFERROR(VLOOKUP(C174,Palmares!#REF!,4,FALSE),0)</f>
        <v>0</v>
      </c>
    </row>
    <row r="175" spans="1:9" ht="15.6" x14ac:dyDescent="0.3">
      <c r="A175" s="35" t="s">
        <v>9</v>
      </c>
      <c r="C175" s="1">
        <v>10522</v>
      </c>
      <c r="D175" s="2" t="s">
        <v>324</v>
      </c>
      <c r="E175" s="2" t="s">
        <v>325</v>
      </c>
      <c r="F175"/>
      <c r="G175" t="str">
        <f t="shared" si="12"/>
        <v>Azul</v>
      </c>
      <c r="H175" t="e">
        <f>IF(G175="Rojas",VLOOKUP(F175,#REF!,3,TRUE),IF(G175="Azul",VLOOKUP(F175,#REF!,3,TRUE),VLOOKUP(F175,#REF!,3,TRUE)))</f>
        <v>#REF!</v>
      </c>
      <c r="I175" s="9">
        <f>IFERROR(VLOOKUP(C175,Palmares!#REF!,4,FALSE),0)</f>
        <v>0</v>
      </c>
    </row>
    <row r="176" spans="1:9" ht="15.6" x14ac:dyDescent="0.3">
      <c r="A176" s="37" t="s">
        <v>17</v>
      </c>
      <c r="B176">
        <v>6</v>
      </c>
      <c r="C176" s="3">
        <v>16501</v>
      </c>
      <c r="D176" s="39" t="s">
        <v>249</v>
      </c>
      <c r="E176" s="2" t="s">
        <v>250</v>
      </c>
      <c r="F176">
        <v>12.6</v>
      </c>
      <c r="G176" t="str">
        <f t="shared" si="12"/>
        <v>Azul</v>
      </c>
      <c r="H176" t="e">
        <f>IF(G176="Rojas",VLOOKUP(F176,#REF!,3,TRUE),IF(G176="Azul",VLOOKUP(F176,#REF!,3,TRUE),VLOOKUP(F176,#REF!,3,TRUE)))</f>
        <v>#REF!</v>
      </c>
      <c r="I176" s="9">
        <f>IFERROR(VLOOKUP(C176,Palmares!#REF!,4,FALSE),0)</f>
        <v>0</v>
      </c>
    </row>
    <row r="177" spans="1:9" ht="15.6" x14ac:dyDescent="0.3">
      <c r="A177" s="2" t="s">
        <v>17</v>
      </c>
      <c r="B177">
        <v>6</v>
      </c>
      <c r="C177" s="1">
        <v>32182</v>
      </c>
      <c r="D177" s="39" t="s">
        <v>188</v>
      </c>
      <c r="E177" s="2" t="s">
        <v>189</v>
      </c>
      <c r="F177" s="9">
        <v>20.399999999999999</v>
      </c>
      <c r="G177" t="str">
        <f t="shared" si="12"/>
        <v>Blanca</v>
      </c>
      <c r="H177" t="e">
        <f>IF(G177="Rojas",VLOOKUP(F177,#REF!,3,TRUE),IF(G177="Azul",VLOOKUP(F177,#REF!,3,TRUE),VLOOKUP(F177,#REF!,3,TRUE)))</f>
        <v>#REF!</v>
      </c>
      <c r="I177" s="9">
        <f>IFERROR(VLOOKUP(C177,Palmares!#REF!,4,FALSE),0)</f>
        <v>0</v>
      </c>
    </row>
    <row r="178" spans="1:9" ht="15.6" x14ac:dyDescent="0.3">
      <c r="A178" s="34" t="s">
        <v>9</v>
      </c>
      <c r="C178" s="1">
        <v>17914</v>
      </c>
      <c r="D178" s="2" t="s">
        <v>329</v>
      </c>
      <c r="E178" s="2" t="s">
        <v>330</v>
      </c>
      <c r="F178"/>
      <c r="G178" t="str">
        <f t="shared" si="12"/>
        <v>Azul</v>
      </c>
      <c r="H178" t="e">
        <f>IF(G178="Rojas",VLOOKUP(F178,#REF!,3,TRUE),IF(G178="Azul",VLOOKUP(F178,#REF!,3,TRUE),VLOOKUP(F178,#REF!,3,TRUE)))</f>
        <v>#REF!</v>
      </c>
      <c r="I178" s="9">
        <f>IFERROR(VLOOKUP(C178,Palmares!#REF!,4,FALSE),0)</f>
        <v>0</v>
      </c>
    </row>
    <row r="179" spans="1:9" ht="15.6" x14ac:dyDescent="0.3">
      <c r="A179" s="35" t="s">
        <v>9</v>
      </c>
      <c r="C179" s="1">
        <v>20977</v>
      </c>
      <c r="D179" s="2" t="s">
        <v>329</v>
      </c>
      <c r="E179" s="2" t="s">
        <v>331</v>
      </c>
      <c r="F179"/>
      <c r="G179" t="str">
        <f t="shared" si="12"/>
        <v>Azul</v>
      </c>
      <c r="H179" t="e">
        <f>IF(G179="Rojas",VLOOKUP(F179,#REF!,3,TRUE),IF(G179="Azul",VLOOKUP(F179,#REF!,3,TRUE),VLOOKUP(F179,#REF!,3,TRUE)))</f>
        <v>#REF!</v>
      </c>
      <c r="I179" s="9">
        <f>IFERROR(VLOOKUP(C179,Palmares!#REF!,4,FALSE),0)</f>
        <v>0</v>
      </c>
    </row>
    <row r="180" spans="1:9" ht="15.6" x14ac:dyDescent="0.3">
      <c r="A180" s="35" t="s">
        <v>9</v>
      </c>
      <c r="C180" s="1">
        <v>28281</v>
      </c>
      <c r="D180" s="2" t="s">
        <v>332</v>
      </c>
      <c r="E180" s="2" t="s">
        <v>61</v>
      </c>
      <c r="F180"/>
      <c r="G180" t="str">
        <f t="shared" si="12"/>
        <v>Azul</v>
      </c>
      <c r="H180" t="e">
        <f>IF(G180="Rojas",VLOOKUP(F180,#REF!,3,TRUE),IF(G180="Azul",VLOOKUP(F180,#REF!,3,TRUE),VLOOKUP(F180,#REF!,3,TRUE)))</f>
        <v>#REF!</v>
      </c>
      <c r="I180" s="9">
        <f>IFERROR(VLOOKUP(C180,Palmares!#REF!,4,FALSE),0)</f>
        <v>0</v>
      </c>
    </row>
    <row r="181" spans="1:9" ht="15.6" x14ac:dyDescent="0.3">
      <c r="A181" s="35" t="s">
        <v>17</v>
      </c>
      <c r="C181" s="1">
        <v>19187</v>
      </c>
      <c r="D181" s="2" t="s">
        <v>328</v>
      </c>
      <c r="E181" s="2" t="s">
        <v>200</v>
      </c>
      <c r="F181" s="9">
        <v>19.7</v>
      </c>
      <c r="G181" t="str">
        <f t="shared" si="12"/>
        <v>Blanca</v>
      </c>
      <c r="H181" t="e">
        <f>IF(G181="Rojas",VLOOKUP(F181,#REF!,3,TRUE),IF(G181="Azul",VLOOKUP(F181,#REF!,3,TRUE),VLOOKUP(F181,#REF!,3,TRUE)))</f>
        <v>#REF!</v>
      </c>
      <c r="I181" s="9">
        <f>IFERROR(VLOOKUP(C181,Palmares!#REF!,4,FALSE),0)</f>
        <v>0</v>
      </c>
    </row>
    <row r="182" spans="1:9" ht="15.6" x14ac:dyDescent="0.3">
      <c r="A182" s="35" t="s">
        <v>9</v>
      </c>
      <c r="C182" s="1">
        <v>10811</v>
      </c>
      <c r="D182" s="2" t="s">
        <v>335</v>
      </c>
      <c r="E182" s="2" t="s">
        <v>336</v>
      </c>
      <c r="F182"/>
      <c r="G182" t="str">
        <f t="shared" si="12"/>
        <v>Azul</v>
      </c>
      <c r="H182" t="e">
        <f>IF(G182="Rojas",VLOOKUP(F182,#REF!,3,TRUE),IF(G182="Azul",VLOOKUP(F182,#REF!,3,TRUE),VLOOKUP(F182,#REF!,3,TRUE)))</f>
        <v>#REF!</v>
      </c>
      <c r="I182" s="9">
        <f>IFERROR(VLOOKUP(C182,Palmares!#REF!,4,FALSE),0)</f>
        <v>0</v>
      </c>
    </row>
    <row r="183" spans="1:9" ht="15.6" x14ac:dyDescent="0.3">
      <c r="A183" s="35" t="s">
        <v>9</v>
      </c>
      <c r="C183" s="1">
        <v>26409</v>
      </c>
      <c r="D183" s="2" t="s">
        <v>337</v>
      </c>
      <c r="E183" s="2" t="s">
        <v>338</v>
      </c>
      <c r="F183"/>
      <c r="G183" t="str">
        <f t="shared" si="12"/>
        <v>Azul</v>
      </c>
      <c r="H183" t="e">
        <f>IF(G183="Rojas",VLOOKUP(F183,#REF!,3,TRUE),IF(G183="Azul",VLOOKUP(F183,#REF!,3,TRUE),VLOOKUP(F183,#REF!,3,TRUE)))</f>
        <v>#REF!</v>
      </c>
      <c r="I183" s="9">
        <f>IFERROR(VLOOKUP(C183,Palmares!#REF!,4,FALSE),0)</f>
        <v>0</v>
      </c>
    </row>
    <row r="184" spans="1:9" ht="15.6" x14ac:dyDescent="0.3">
      <c r="A184" s="35" t="s">
        <v>17</v>
      </c>
      <c r="B184">
        <v>7</v>
      </c>
      <c r="C184" s="1">
        <v>28433</v>
      </c>
      <c r="D184" s="39" t="s">
        <v>353</v>
      </c>
      <c r="E184" s="2" t="s">
        <v>354</v>
      </c>
      <c r="F184" s="9">
        <v>20.7</v>
      </c>
      <c r="G184" t="str">
        <f t="shared" si="12"/>
        <v>Blanca</v>
      </c>
      <c r="H184" t="e">
        <f>IF(G184="Rojas",VLOOKUP(F184,#REF!,3,TRUE),IF(G184="Azul",VLOOKUP(F184,#REF!,3,TRUE),VLOOKUP(F184,#REF!,3,TRUE)))</f>
        <v>#REF!</v>
      </c>
      <c r="I184" s="9">
        <f>IFERROR(VLOOKUP(C184,Palmares!#REF!,4,FALSE),0)</f>
        <v>0</v>
      </c>
    </row>
    <row r="185" spans="1:9" ht="15.6" x14ac:dyDescent="0.3">
      <c r="A185" s="35" t="s">
        <v>51</v>
      </c>
      <c r="C185" s="1">
        <v>30376</v>
      </c>
      <c r="D185" s="2" t="s">
        <v>52</v>
      </c>
      <c r="E185" s="2" t="s">
        <v>53</v>
      </c>
      <c r="F185" s="9">
        <v>25.8</v>
      </c>
      <c r="G185" t="s">
        <v>372</v>
      </c>
      <c r="H185" t="e">
        <f>IF(G185="Rojas",VLOOKUP(F185,#REF!,3,TRUE),IF(G185="Azul",VLOOKUP(F185,#REF!,3,TRUE),VLOOKUP(F185,#REF!,3,TRUE)))</f>
        <v>#REF!</v>
      </c>
      <c r="I185" s="9">
        <f>IFERROR(VLOOKUP(C185,Palmares!#REF!,4,FALSE),0)</f>
        <v>0</v>
      </c>
    </row>
    <row r="186" spans="1:9" ht="15.6" x14ac:dyDescent="0.3">
      <c r="A186" s="37" t="s">
        <v>9</v>
      </c>
      <c r="C186" s="36">
        <v>11399</v>
      </c>
      <c r="D186" s="2" t="s">
        <v>343</v>
      </c>
      <c r="E186" s="2" t="s">
        <v>344</v>
      </c>
      <c r="F186"/>
      <c r="G186" t="str">
        <f t="shared" ref="G186:G202" si="13">+IF(F186&lt;18.8,"Azul","Blanca")</f>
        <v>Azul</v>
      </c>
      <c r="H186" t="e">
        <f>IF(G186="Rojas",VLOOKUP(F186,#REF!,3,TRUE),IF(G186="Azul",VLOOKUP(F186,#REF!,3,TRUE),VLOOKUP(F186,#REF!,3,TRUE)))</f>
        <v>#REF!</v>
      </c>
      <c r="I186" s="9">
        <f>IFERROR(VLOOKUP(C186,Palmares!#REF!,4,FALSE),0)</f>
        <v>0</v>
      </c>
    </row>
    <row r="187" spans="1:9" ht="15.6" x14ac:dyDescent="0.3">
      <c r="A187" s="2" t="s">
        <v>9</v>
      </c>
      <c r="C187" s="3">
        <v>33221</v>
      </c>
      <c r="D187" s="2" t="s">
        <v>345</v>
      </c>
      <c r="E187" s="2" t="s">
        <v>346</v>
      </c>
      <c r="F187"/>
      <c r="G187" t="str">
        <f t="shared" si="13"/>
        <v>Azul</v>
      </c>
      <c r="H187" t="e">
        <f>IF(G187="Rojas",VLOOKUP(F187,#REF!,3,TRUE),IF(G187="Azul",VLOOKUP(F187,#REF!,3,TRUE),VLOOKUP(F187,#REF!,3,TRUE)))</f>
        <v>#REF!</v>
      </c>
      <c r="I187" s="9">
        <f>IFERROR(VLOOKUP(C187,Palmares!#REF!,4,FALSE),0)</f>
        <v>0</v>
      </c>
    </row>
    <row r="188" spans="1:9" ht="15.6" x14ac:dyDescent="0.3">
      <c r="A188" s="38" t="s">
        <v>9</v>
      </c>
      <c r="C188" s="1">
        <v>11679</v>
      </c>
      <c r="D188" s="2" t="s">
        <v>347</v>
      </c>
      <c r="E188" s="2" t="s">
        <v>348</v>
      </c>
      <c r="F188"/>
      <c r="G188" t="str">
        <f t="shared" si="13"/>
        <v>Azul</v>
      </c>
      <c r="H188" t="e">
        <f>IF(G188="Rojas",VLOOKUP(F188,#REF!,3,TRUE),IF(G188="Azul",VLOOKUP(F188,#REF!,3,TRUE),VLOOKUP(F188,#REF!,3,TRUE)))</f>
        <v>#REF!</v>
      </c>
      <c r="I188" s="9">
        <f>IFERROR(VLOOKUP(C188,Palmares!#REF!,4,FALSE),0)</f>
        <v>0</v>
      </c>
    </row>
    <row r="189" spans="1:9" ht="15.6" x14ac:dyDescent="0.3">
      <c r="A189" s="2" t="s">
        <v>9</v>
      </c>
      <c r="C189" s="1">
        <v>28917</v>
      </c>
      <c r="D189" s="2" t="s">
        <v>349</v>
      </c>
      <c r="E189" s="2" t="s">
        <v>83</v>
      </c>
      <c r="F189"/>
      <c r="G189" t="str">
        <f t="shared" si="13"/>
        <v>Azul</v>
      </c>
      <c r="H189" t="e">
        <f>IF(G189="Rojas",VLOOKUP(F189,#REF!,3,TRUE),IF(G189="Azul",VLOOKUP(F189,#REF!,3,TRUE),VLOOKUP(F189,#REF!,3,TRUE)))</f>
        <v>#REF!</v>
      </c>
      <c r="I189" s="9">
        <f>IFERROR(VLOOKUP(C189,Palmares!#REF!,4,FALSE),0)</f>
        <v>0</v>
      </c>
    </row>
    <row r="190" spans="1:9" ht="15.6" x14ac:dyDescent="0.3">
      <c r="A190" s="34" t="s">
        <v>9</v>
      </c>
      <c r="C190" s="36">
        <v>28920</v>
      </c>
      <c r="D190" s="2" t="s">
        <v>349</v>
      </c>
      <c r="E190" s="2" t="s">
        <v>350</v>
      </c>
      <c r="F190"/>
      <c r="G190" t="str">
        <f t="shared" si="13"/>
        <v>Azul</v>
      </c>
      <c r="H190" t="e">
        <f>IF(G190="Rojas",VLOOKUP(F190,#REF!,3,TRUE),IF(G190="Azul",VLOOKUP(F190,#REF!,3,TRUE),VLOOKUP(F190,#REF!,3,TRUE)))</f>
        <v>#REF!</v>
      </c>
      <c r="I190" s="9">
        <f>IFERROR(VLOOKUP(C190,Palmares!#REF!,4,FALSE),0)</f>
        <v>0</v>
      </c>
    </row>
    <row r="191" spans="1:9" ht="15.6" x14ac:dyDescent="0.3">
      <c r="A191" s="35" t="s">
        <v>17</v>
      </c>
      <c r="B191">
        <v>7</v>
      </c>
      <c r="C191" s="1">
        <v>14824</v>
      </c>
      <c r="D191" s="39" t="s">
        <v>364</v>
      </c>
      <c r="E191" s="2" t="s">
        <v>365</v>
      </c>
      <c r="F191" s="9">
        <v>22.5</v>
      </c>
      <c r="G191" t="str">
        <f t="shared" si="13"/>
        <v>Blanca</v>
      </c>
      <c r="H191" t="e">
        <f>IF(G191="Rojas",VLOOKUP(F191,#REF!,3,TRUE),IF(G191="Azul",VLOOKUP(F191,#REF!,3,TRUE),VLOOKUP(F191,#REF!,3,TRUE)))</f>
        <v>#REF!</v>
      </c>
      <c r="I191" s="9">
        <f>IFERROR(VLOOKUP(C191,Palmares!#REF!,4,FALSE),0)</f>
        <v>0</v>
      </c>
    </row>
    <row r="192" spans="1:9" ht="15.6" x14ac:dyDescent="0.3">
      <c r="A192" s="35" t="s">
        <v>17</v>
      </c>
      <c r="C192" s="1">
        <v>30101</v>
      </c>
      <c r="D192" s="2" t="s">
        <v>341</v>
      </c>
      <c r="E192" s="2" t="s">
        <v>342</v>
      </c>
      <c r="F192" s="9">
        <v>13.1</v>
      </c>
      <c r="G192" t="str">
        <f t="shared" si="13"/>
        <v>Azul</v>
      </c>
      <c r="H192" t="e">
        <f>IF(G192="Rojas",VLOOKUP(F192,#REF!,3,TRUE),IF(G192="Azul",VLOOKUP(F192,#REF!,3,TRUE),VLOOKUP(F192,#REF!,3,TRUE)))</f>
        <v>#REF!</v>
      </c>
      <c r="I192" s="9">
        <f>IFERROR(VLOOKUP(C192,Palmares!#REF!,4,FALSE),0)</f>
        <v>0</v>
      </c>
    </row>
    <row r="193" spans="1:9" ht="15.6" x14ac:dyDescent="0.3">
      <c r="A193" s="35" t="s">
        <v>9</v>
      </c>
      <c r="C193" s="1">
        <v>27116</v>
      </c>
      <c r="D193" s="2" t="s">
        <v>355</v>
      </c>
      <c r="E193" s="2" t="s">
        <v>356</v>
      </c>
      <c r="F193"/>
      <c r="G193" t="str">
        <f t="shared" si="13"/>
        <v>Azul</v>
      </c>
      <c r="H193" t="e">
        <f>IF(G193="Rojas",VLOOKUP(F193,#REF!,3,TRUE),IF(G193="Azul",VLOOKUP(F193,#REF!,3,TRUE),VLOOKUP(F193,#REF!,3,TRUE)))</f>
        <v>#REF!</v>
      </c>
      <c r="I193" s="9">
        <f>IFERROR(VLOOKUP(C193,Palmares!#REF!,4,FALSE),0)</f>
        <v>0</v>
      </c>
    </row>
    <row r="194" spans="1:9" ht="15.6" x14ac:dyDescent="0.3">
      <c r="A194" s="35" t="s">
        <v>9</v>
      </c>
      <c r="C194" s="1">
        <v>11980</v>
      </c>
      <c r="D194" s="2" t="s">
        <v>357</v>
      </c>
      <c r="E194" s="2" t="s">
        <v>358</v>
      </c>
      <c r="F194"/>
      <c r="G194" t="str">
        <f t="shared" si="13"/>
        <v>Azul</v>
      </c>
      <c r="H194" t="e">
        <f>IF(G194="Rojas",VLOOKUP(F194,#REF!,3,TRUE),IF(G194="Azul",VLOOKUP(F194,#REF!,3,TRUE),VLOOKUP(F194,#REF!,3,TRUE)))</f>
        <v>#REF!</v>
      </c>
      <c r="I194" s="9">
        <f>IFERROR(VLOOKUP(C194,Palmares!#REF!,4,FALSE),0)</f>
        <v>0</v>
      </c>
    </row>
    <row r="195" spans="1:9" ht="15.6" x14ac:dyDescent="0.3">
      <c r="A195" s="37" t="s">
        <v>9</v>
      </c>
      <c r="C195" s="1">
        <v>27232</v>
      </c>
      <c r="D195" s="2" t="s">
        <v>359</v>
      </c>
      <c r="E195" s="2" t="s">
        <v>360</v>
      </c>
      <c r="F195"/>
      <c r="G195" t="str">
        <f t="shared" si="13"/>
        <v>Azul</v>
      </c>
      <c r="H195" t="e">
        <f>IF(G195="Rojas",VLOOKUP(F195,#REF!,3,TRUE),IF(G195="Azul",VLOOKUP(F195,#REF!,3,TRUE),VLOOKUP(F195,#REF!,3,TRUE)))</f>
        <v>#REF!</v>
      </c>
      <c r="I195" s="9">
        <f>IFERROR(VLOOKUP(C195,Palmares!#REF!,4,FALSE),0)</f>
        <v>0</v>
      </c>
    </row>
    <row r="196" spans="1:9" ht="15.6" x14ac:dyDescent="0.3">
      <c r="A196" s="2" t="s">
        <v>9</v>
      </c>
      <c r="C196" s="1">
        <v>19928</v>
      </c>
      <c r="D196" s="2" t="s">
        <v>361</v>
      </c>
      <c r="E196" s="2" t="s">
        <v>362</v>
      </c>
      <c r="F196"/>
      <c r="G196" t="str">
        <f t="shared" si="13"/>
        <v>Azul</v>
      </c>
      <c r="H196" t="e">
        <f>IF(G196="Rojas",VLOOKUP(F196,#REF!,3,TRUE),IF(G196="Azul",VLOOKUP(F196,#REF!,3,TRUE),VLOOKUP(F196,#REF!,3,TRUE)))</f>
        <v>#REF!</v>
      </c>
      <c r="I196" s="9">
        <f>IFERROR(VLOOKUP(C196,Palmares!#REF!,4,FALSE),0)</f>
        <v>0</v>
      </c>
    </row>
    <row r="197" spans="1:9" ht="15.6" x14ac:dyDescent="0.3">
      <c r="A197" s="34" t="s">
        <v>17</v>
      </c>
      <c r="B197">
        <v>7</v>
      </c>
      <c r="C197" s="1">
        <v>31833</v>
      </c>
      <c r="D197" s="39" t="s">
        <v>140</v>
      </c>
      <c r="E197" s="2" t="s">
        <v>40</v>
      </c>
      <c r="F197" s="9">
        <v>24.4</v>
      </c>
      <c r="G197" t="str">
        <f t="shared" si="13"/>
        <v>Blanca</v>
      </c>
      <c r="H197" t="e">
        <f>IF(G197="Rojas",VLOOKUP(F197,#REF!,3,TRUE),IF(G197="Azul",VLOOKUP(F197,#REF!,3,TRUE),VLOOKUP(F197,#REF!,3,TRUE)))</f>
        <v>#REF!</v>
      </c>
      <c r="I197" s="9">
        <f>IFERROR(VLOOKUP(C197,Palmares!#REF!,4,FALSE),0)</f>
        <v>0</v>
      </c>
    </row>
    <row r="198" spans="1:9" ht="15.6" x14ac:dyDescent="0.3">
      <c r="A198" s="37" t="s">
        <v>17</v>
      </c>
      <c r="B198">
        <v>7</v>
      </c>
      <c r="C198" s="1">
        <v>20941</v>
      </c>
      <c r="D198" s="39" t="s">
        <v>319</v>
      </c>
      <c r="E198" s="2" t="s">
        <v>320</v>
      </c>
      <c r="F198" s="9">
        <v>25.2</v>
      </c>
      <c r="G198" t="str">
        <f t="shared" si="13"/>
        <v>Blanca</v>
      </c>
      <c r="H198" t="e">
        <f>IF(G198="Rojas",VLOOKUP(F198,#REF!,3,TRUE),IF(G198="Azul",VLOOKUP(F198,#REF!,3,TRUE),VLOOKUP(F198,#REF!,3,TRUE)))</f>
        <v>#REF!</v>
      </c>
      <c r="I198" s="9">
        <f>IFERROR(VLOOKUP(C198,Palmares!#REF!,4,FALSE),0)</f>
        <v>0</v>
      </c>
    </row>
    <row r="199" spans="1:9" ht="15.6" x14ac:dyDescent="0.3">
      <c r="A199" s="2" t="s">
        <v>17</v>
      </c>
      <c r="B199">
        <v>8</v>
      </c>
      <c r="C199" s="1"/>
      <c r="D199" s="39" t="s">
        <v>368</v>
      </c>
      <c r="E199" s="2" t="s">
        <v>458</v>
      </c>
      <c r="G199" t="str">
        <f t="shared" si="13"/>
        <v>Azul</v>
      </c>
      <c r="H199" t="e">
        <f>IF(G199="Rojas",VLOOKUP(F199,#REF!,3,TRUE),IF(G199="Azul",VLOOKUP(F199,#REF!,3,TRUE),VLOOKUP(F199,#REF!,3,TRUE)))</f>
        <v>#REF!</v>
      </c>
      <c r="I199" s="9">
        <f>IFERROR(VLOOKUP(C199,Palmares!#REF!,4,FALSE),0)</f>
        <v>0</v>
      </c>
    </row>
    <row r="200" spans="1:9" ht="15.6" x14ac:dyDescent="0.3">
      <c r="A200" s="2" t="s">
        <v>9</v>
      </c>
      <c r="B200">
        <v>8</v>
      </c>
      <c r="C200" s="1"/>
      <c r="D200" s="39" t="s">
        <v>109</v>
      </c>
      <c r="E200" s="2" t="s">
        <v>215</v>
      </c>
      <c r="F200"/>
      <c r="G200" t="str">
        <f t="shared" si="13"/>
        <v>Azul</v>
      </c>
      <c r="H200" t="e">
        <f>IF(G200="Rojas",VLOOKUP(F200,#REF!,3,TRUE),IF(G200="Azul",VLOOKUP(F200,#REF!,3,TRUE),VLOOKUP(F200,#REF!,3,TRUE)))</f>
        <v>#REF!</v>
      </c>
      <c r="I200" s="9">
        <f>IFERROR(VLOOKUP(C200,Palmares!#REF!,4,FALSE),0)</f>
        <v>0</v>
      </c>
    </row>
    <row r="201" spans="1:9" ht="15.6" x14ac:dyDescent="0.3">
      <c r="A201" s="2" t="s">
        <v>9</v>
      </c>
      <c r="B201">
        <v>8</v>
      </c>
      <c r="C201" s="1">
        <v>2365</v>
      </c>
      <c r="D201" s="2" t="s">
        <v>105</v>
      </c>
      <c r="E201" s="2" t="s">
        <v>106</v>
      </c>
      <c r="F201"/>
      <c r="G201" t="str">
        <f t="shared" si="13"/>
        <v>Azul</v>
      </c>
      <c r="H201" t="e">
        <f>IF(G201="Rojas",VLOOKUP(F201,#REF!,3,TRUE),IF(G201="Azul",VLOOKUP(F201,#REF!,3,TRUE),VLOOKUP(F201,#REF!,3,TRUE)))</f>
        <v>#REF!</v>
      </c>
      <c r="I201" s="9">
        <f>IFERROR(VLOOKUP(C201,Palmares!#REF!,4,FALSE),0)</f>
        <v>0</v>
      </c>
    </row>
    <row r="202" spans="1:9" ht="15.6" x14ac:dyDescent="0.3">
      <c r="A202" s="2" t="s">
        <v>17</v>
      </c>
      <c r="B202">
        <v>8</v>
      </c>
      <c r="C202" s="1">
        <v>12531</v>
      </c>
      <c r="D202" s="39" t="s">
        <v>366</v>
      </c>
      <c r="E202" s="2" t="s">
        <v>367</v>
      </c>
      <c r="F202" s="9">
        <v>2.2000000000000002</v>
      </c>
      <c r="G202" t="str">
        <f t="shared" si="13"/>
        <v>Azul</v>
      </c>
      <c r="H202" t="e">
        <f>IF(G202="Rojas",VLOOKUP(F202,#REF!,3,TRUE),IF(G202="Azul",VLOOKUP(F202,#REF!,3,TRUE),VLOOKUP(F202,#REF!,3,TRUE)))</f>
        <v>#REF!</v>
      </c>
      <c r="I202" s="9">
        <f>IFERROR(VLOOKUP(C202,Palmares!#REF!,4,FALSE),0)</f>
        <v>0</v>
      </c>
    </row>
    <row r="203" spans="1:9" ht="15.6" x14ac:dyDescent="0.3">
      <c r="E203" s="2"/>
    </row>
  </sheetData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E317E-5622-4C9E-8C75-00AC8B04EB67}">
  <sheetPr codeName="Hoja5"/>
  <dimension ref="A1:P203"/>
  <sheetViews>
    <sheetView topLeftCell="A50" zoomScale="97" zoomScaleNormal="100" workbookViewId="0">
      <selection activeCell="M55" sqref="M55"/>
    </sheetView>
  </sheetViews>
  <sheetFormatPr baseColWidth="10" defaultColWidth="11.44140625" defaultRowHeight="14.4" outlineLevelCol="1" x14ac:dyDescent="0.3"/>
  <cols>
    <col min="1" max="1" width="4.88671875" customWidth="1"/>
    <col min="2" max="2" width="9" bestFit="1" customWidth="1"/>
    <col min="3" max="3" width="22.109375" bestFit="1" customWidth="1"/>
    <col min="4" max="4" width="17.44140625" bestFit="1" customWidth="1"/>
    <col min="5" max="5" width="6.109375" bestFit="1" customWidth="1"/>
    <col min="6" max="6" width="17.21875" customWidth="1"/>
    <col min="7" max="7" width="13.88671875" style="9" customWidth="1" outlineLevel="1"/>
    <col min="8" max="8" width="13.5546875" style="9" bestFit="1" customWidth="1" outlineLevel="1"/>
    <col min="9" max="9" width="18.109375" bestFit="1" customWidth="1" outlineLevel="1"/>
    <col min="10" max="10" width="19.109375" style="9" bestFit="1" customWidth="1"/>
    <col min="12" max="12" width="17.77734375" customWidth="1"/>
    <col min="13" max="13" width="17.6640625" customWidth="1"/>
  </cols>
  <sheetData>
    <row r="1" spans="1:16" x14ac:dyDescent="0.3">
      <c r="A1" s="313" t="s">
        <v>593</v>
      </c>
      <c r="B1" s="313"/>
      <c r="C1" s="313"/>
      <c r="D1" s="313"/>
      <c r="E1" s="313"/>
      <c r="F1" s="313"/>
      <c r="G1" s="313"/>
      <c r="H1" s="313"/>
      <c r="I1" s="313"/>
      <c r="J1" s="313"/>
      <c r="K1" s="168"/>
      <c r="L1" s="168"/>
      <c r="M1" s="168"/>
      <c r="N1" s="168"/>
    </row>
    <row r="2" spans="1:16" ht="15.6" x14ac:dyDescent="0.3">
      <c r="A2" s="168"/>
      <c r="B2" s="169" t="s">
        <v>2</v>
      </c>
      <c r="C2" s="170" t="s">
        <v>3</v>
      </c>
      <c r="D2" s="169" t="s">
        <v>4</v>
      </c>
      <c r="E2" s="169" t="s">
        <v>577</v>
      </c>
      <c r="F2" s="169" t="s">
        <v>576</v>
      </c>
      <c r="G2" s="171" t="s">
        <v>578</v>
      </c>
      <c r="H2" s="171" t="s">
        <v>579</v>
      </c>
      <c r="I2" s="169" t="s">
        <v>580</v>
      </c>
      <c r="J2" s="171" t="s">
        <v>581</v>
      </c>
      <c r="K2" s="168"/>
      <c r="L2" s="171" t="s">
        <v>582</v>
      </c>
      <c r="M2" s="211">
        <v>4490000</v>
      </c>
      <c r="N2" s="172">
        <f>M2/497</f>
        <v>9034.2052313883305</v>
      </c>
    </row>
    <row r="3" spans="1:16" x14ac:dyDescent="0.3">
      <c r="A3" s="173">
        <v>1</v>
      </c>
      <c r="B3" s="174">
        <v>21865</v>
      </c>
      <c r="C3" s="175" t="s">
        <v>107</v>
      </c>
      <c r="D3" s="175" t="s">
        <v>108</v>
      </c>
      <c r="E3" s="175">
        <v>16.8</v>
      </c>
      <c r="F3" s="175" t="s">
        <v>484</v>
      </c>
      <c r="G3" s="176">
        <v>18</v>
      </c>
      <c r="H3" s="176">
        <v>23</v>
      </c>
      <c r="I3" s="177">
        <v>200000</v>
      </c>
      <c r="J3" s="178">
        <f t="shared" ref="J3:J24" si="0">$M$3-I3</f>
        <v>100000</v>
      </c>
      <c r="K3" s="225" t="s">
        <v>595</v>
      </c>
      <c r="L3" s="179" t="s">
        <v>583</v>
      </c>
      <c r="M3" s="180">
        <v>300000</v>
      </c>
      <c r="N3" s="179"/>
    </row>
    <row r="4" spans="1:16" x14ac:dyDescent="0.3">
      <c r="A4" s="173">
        <v>2</v>
      </c>
      <c r="B4" s="181">
        <v>30377</v>
      </c>
      <c r="C4" s="175" t="s">
        <v>72</v>
      </c>
      <c r="D4" s="175" t="s">
        <v>71</v>
      </c>
      <c r="E4" s="175">
        <v>21</v>
      </c>
      <c r="F4" s="175" t="s">
        <v>485</v>
      </c>
      <c r="G4" s="176">
        <v>21</v>
      </c>
      <c r="H4" s="176">
        <v>0</v>
      </c>
      <c r="I4" s="177">
        <v>0</v>
      </c>
      <c r="J4" s="178">
        <f t="shared" si="0"/>
        <v>300000</v>
      </c>
      <c r="K4" s="168" t="s">
        <v>595</v>
      </c>
      <c r="L4" s="168"/>
      <c r="M4" s="168"/>
      <c r="N4" s="168"/>
    </row>
    <row r="5" spans="1:16" x14ac:dyDescent="0.3">
      <c r="A5" s="173">
        <v>3</v>
      </c>
      <c r="B5" s="174">
        <v>30572</v>
      </c>
      <c r="C5" s="175" t="s">
        <v>225</v>
      </c>
      <c r="D5" s="175" t="s">
        <v>226</v>
      </c>
      <c r="E5" s="175">
        <v>20.8</v>
      </c>
      <c r="F5" s="175" t="s">
        <v>485</v>
      </c>
      <c r="G5" s="176">
        <v>21</v>
      </c>
      <c r="H5" s="176">
        <v>20</v>
      </c>
      <c r="I5" s="177">
        <v>170000</v>
      </c>
      <c r="J5" s="178">
        <f t="shared" si="0"/>
        <v>130000</v>
      </c>
      <c r="K5" s="225" t="s">
        <v>595</v>
      </c>
      <c r="L5" s="168"/>
      <c r="M5" s="182"/>
      <c r="N5" s="183"/>
    </row>
    <row r="6" spans="1:16" x14ac:dyDescent="0.3">
      <c r="A6" s="173">
        <v>4</v>
      </c>
      <c r="B6" s="174">
        <v>15107</v>
      </c>
      <c r="C6" s="175" t="s">
        <v>153</v>
      </c>
      <c r="D6" s="175" t="s">
        <v>154</v>
      </c>
      <c r="E6" s="175">
        <v>16.2</v>
      </c>
      <c r="F6" s="184" t="s">
        <v>484</v>
      </c>
      <c r="G6" s="185">
        <v>17</v>
      </c>
      <c r="H6" s="185">
        <v>24</v>
      </c>
      <c r="I6" s="177">
        <v>210000</v>
      </c>
      <c r="J6" s="178">
        <f t="shared" si="0"/>
        <v>90000</v>
      </c>
      <c r="K6" s="225" t="s">
        <v>595</v>
      </c>
      <c r="L6" s="168"/>
      <c r="M6" s="182"/>
      <c r="N6" s="183"/>
      <c r="O6" s="165"/>
    </row>
    <row r="7" spans="1:16" x14ac:dyDescent="0.3">
      <c r="A7" s="173">
        <v>5</v>
      </c>
      <c r="B7" s="186">
        <v>32142</v>
      </c>
      <c r="C7" s="175" t="s">
        <v>47</v>
      </c>
      <c r="D7" s="175" t="s">
        <v>48</v>
      </c>
      <c r="E7" s="175">
        <v>19.5</v>
      </c>
      <c r="F7" s="175" t="s">
        <v>485</v>
      </c>
      <c r="G7" s="176">
        <v>19</v>
      </c>
      <c r="H7" s="176">
        <v>11</v>
      </c>
      <c r="I7" s="177">
        <v>100000</v>
      </c>
      <c r="J7" s="178">
        <f t="shared" si="0"/>
        <v>200000</v>
      </c>
      <c r="K7" s="225" t="s">
        <v>595</v>
      </c>
      <c r="L7" s="168"/>
      <c r="M7" s="182"/>
      <c r="N7" s="183"/>
    </row>
    <row r="8" spans="1:16" x14ac:dyDescent="0.3">
      <c r="A8" s="173">
        <v>6</v>
      </c>
      <c r="B8" s="174">
        <v>33116</v>
      </c>
      <c r="C8" s="175" t="s">
        <v>195</v>
      </c>
      <c r="D8" s="175" t="s">
        <v>196</v>
      </c>
      <c r="E8" s="175">
        <v>24.6</v>
      </c>
      <c r="F8" s="175" t="s">
        <v>485</v>
      </c>
      <c r="G8" s="176">
        <v>25</v>
      </c>
      <c r="H8" s="176">
        <v>4</v>
      </c>
      <c r="I8" s="177">
        <v>40000</v>
      </c>
      <c r="J8" s="178">
        <f t="shared" si="0"/>
        <v>260000</v>
      </c>
      <c r="K8" s="225" t="s">
        <v>595</v>
      </c>
      <c r="L8" s="168"/>
      <c r="M8" s="182"/>
      <c r="N8" s="183"/>
      <c r="O8" s="165"/>
      <c r="P8" s="165">
        <f>O8/44</f>
        <v>0</v>
      </c>
    </row>
    <row r="9" spans="1:16" x14ac:dyDescent="0.3">
      <c r="A9" s="173">
        <v>7</v>
      </c>
      <c r="B9" s="174">
        <v>27280</v>
      </c>
      <c r="C9" s="175" t="s">
        <v>263</v>
      </c>
      <c r="D9" s="175" t="s">
        <v>264</v>
      </c>
      <c r="E9" s="175">
        <v>30</v>
      </c>
      <c r="F9" s="175" t="s">
        <v>573</v>
      </c>
      <c r="G9" s="176">
        <v>36</v>
      </c>
      <c r="H9" s="176">
        <v>0</v>
      </c>
      <c r="I9" s="177">
        <f t="shared" ref="I9:I24" si="1">H9*$N$2</f>
        <v>0</v>
      </c>
      <c r="J9" s="178">
        <f t="shared" si="0"/>
        <v>300000</v>
      </c>
      <c r="K9" s="225" t="s">
        <v>595</v>
      </c>
      <c r="L9" s="168"/>
      <c r="M9" s="168"/>
      <c r="N9" s="183"/>
    </row>
    <row r="10" spans="1:16" x14ac:dyDescent="0.3">
      <c r="A10" s="173">
        <v>8</v>
      </c>
      <c r="B10" s="186">
        <v>28433</v>
      </c>
      <c r="C10" s="176" t="s">
        <v>353</v>
      </c>
      <c r="D10" s="176" t="s">
        <v>354</v>
      </c>
      <c r="E10" s="184">
        <v>24.2</v>
      </c>
      <c r="F10" s="175" t="s">
        <v>485</v>
      </c>
      <c r="G10" s="176">
        <v>25</v>
      </c>
      <c r="H10" s="176">
        <v>21</v>
      </c>
      <c r="I10" s="177">
        <v>180000</v>
      </c>
      <c r="J10" s="178">
        <f t="shared" si="0"/>
        <v>120000</v>
      </c>
      <c r="K10" s="225" t="s">
        <v>595</v>
      </c>
      <c r="L10" s="168"/>
      <c r="M10" s="187"/>
      <c r="N10" s="183"/>
    </row>
    <row r="11" spans="1:16" x14ac:dyDescent="0.3">
      <c r="A11" s="173">
        <v>9</v>
      </c>
      <c r="B11" s="174">
        <v>12724</v>
      </c>
      <c r="C11" s="175" t="s">
        <v>460</v>
      </c>
      <c r="D11" s="175" t="s">
        <v>246</v>
      </c>
      <c r="E11" s="175">
        <v>11.1</v>
      </c>
      <c r="F11" s="176" t="s">
        <v>484</v>
      </c>
      <c r="G11" s="176">
        <v>11</v>
      </c>
      <c r="H11" s="176">
        <v>21</v>
      </c>
      <c r="I11" s="177">
        <v>180000</v>
      </c>
      <c r="J11" s="178">
        <f t="shared" si="0"/>
        <v>120000</v>
      </c>
      <c r="K11" s="225" t="s">
        <v>595</v>
      </c>
      <c r="L11" s="168"/>
      <c r="M11" s="168"/>
      <c r="N11" s="168"/>
    </row>
    <row r="12" spans="1:16" x14ac:dyDescent="0.3">
      <c r="A12" s="173">
        <v>10</v>
      </c>
      <c r="B12" s="174">
        <v>13625</v>
      </c>
      <c r="C12" s="175" t="s">
        <v>222</v>
      </c>
      <c r="D12" s="175" t="s">
        <v>223</v>
      </c>
      <c r="E12" s="175">
        <v>10</v>
      </c>
      <c r="F12" s="175" t="s">
        <v>484</v>
      </c>
      <c r="G12" s="176">
        <v>10</v>
      </c>
      <c r="H12" s="176">
        <v>10</v>
      </c>
      <c r="I12" s="177">
        <v>90000</v>
      </c>
      <c r="J12" s="178">
        <f t="shared" si="0"/>
        <v>210000</v>
      </c>
      <c r="K12" s="225" t="s">
        <v>595</v>
      </c>
      <c r="L12" s="168"/>
      <c r="M12" s="168"/>
      <c r="N12" s="168"/>
    </row>
    <row r="13" spans="1:16" x14ac:dyDescent="0.3">
      <c r="A13" s="173">
        <v>11</v>
      </c>
      <c r="B13" s="174">
        <v>28225</v>
      </c>
      <c r="C13" s="175" t="s">
        <v>222</v>
      </c>
      <c r="D13" s="175" t="s">
        <v>233</v>
      </c>
      <c r="E13" s="176">
        <v>11.8</v>
      </c>
      <c r="F13" s="175" t="s">
        <v>484</v>
      </c>
      <c r="G13" s="176">
        <v>12</v>
      </c>
      <c r="H13" s="176">
        <v>17</v>
      </c>
      <c r="I13" s="177">
        <v>150000</v>
      </c>
      <c r="J13" s="178">
        <f t="shared" si="0"/>
        <v>150000</v>
      </c>
      <c r="K13" s="225" t="s">
        <v>595</v>
      </c>
      <c r="L13" s="168"/>
      <c r="M13" s="168"/>
      <c r="N13" s="168"/>
    </row>
    <row r="14" spans="1:16" x14ac:dyDescent="0.3">
      <c r="A14" s="173">
        <v>12</v>
      </c>
      <c r="B14" s="186">
        <v>9446</v>
      </c>
      <c r="C14" s="176" t="s">
        <v>285</v>
      </c>
      <c r="D14" s="176" t="s">
        <v>286</v>
      </c>
      <c r="E14" s="175">
        <v>12.3</v>
      </c>
      <c r="F14" s="175" t="s">
        <v>484</v>
      </c>
      <c r="G14" s="176">
        <v>13</v>
      </c>
      <c r="H14" s="176">
        <v>13</v>
      </c>
      <c r="I14" s="177">
        <v>110000</v>
      </c>
      <c r="J14" s="178">
        <f t="shared" si="0"/>
        <v>190000</v>
      </c>
      <c r="K14" s="225" t="s">
        <v>595</v>
      </c>
      <c r="L14" s="168"/>
      <c r="M14" s="168"/>
      <c r="N14" s="168"/>
    </row>
    <row r="15" spans="1:16" x14ac:dyDescent="0.3">
      <c r="A15" s="173">
        <v>13</v>
      </c>
      <c r="B15" s="186">
        <v>30101</v>
      </c>
      <c r="C15" s="176" t="s">
        <v>341</v>
      </c>
      <c r="D15" s="176" t="s">
        <v>342</v>
      </c>
      <c r="E15" s="175">
        <v>14.3</v>
      </c>
      <c r="F15" s="175" t="s">
        <v>484</v>
      </c>
      <c r="G15" s="176">
        <v>15</v>
      </c>
      <c r="H15" s="176">
        <v>3</v>
      </c>
      <c r="I15" s="177">
        <v>30000</v>
      </c>
      <c r="J15" s="178">
        <f t="shared" si="0"/>
        <v>270000</v>
      </c>
      <c r="K15" s="225" t="s">
        <v>595</v>
      </c>
      <c r="L15" s="168"/>
      <c r="M15" s="168"/>
      <c r="N15" s="168"/>
    </row>
    <row r="16" spans="1:16" x14ac:dyDescent="0.3">
      <c r="A16" s="173">
        <v>14</v>
      </c>
      <c r="B16" s="174">
        <v>14824</v>
      </c>
      <c r="C16" s="175" t="s">
        <v>364</v>
      </c>
      <c r="D16" s="175" t="s">
        <v>365</v>
      </c>
      <c r="E16" s="175">
        <v>19</v>
      </c>
      <c r="F16" s="175" t="s">
        <v>485</v>
      </c>
      <c r="G16" s="176">
        <v>19</v>
      </c>
      <c r="H16" s="176">
        <v>2</v>
      </c>
      <c r="I16" s="177">
        <v>20000</v>
      </c>
      <c r="J16" s="178">
        <f t="shared" si="0"/>
        <v>280000</v>
      </c>
      <c r="K16" s="225" t="s">
        <v>595</v>
      </c>
      <c r="L16" s="168"/>
      <c r="M16" s="168"/>
      <c r="N16" s="168"/>
    </row>
    <row r="17" spans="1:14" x14ac:dyDescent="0.3">
      <c r="A17" s="173">
        <v>15</v>
      </c>
      <c r="B17" s="186">
        <v>16501</v>
      </c>
      <c r="C17" s="175" t="s">
        <v>249</v>
      </c>
      <c r="D17" s="175" t="s">
        <v>250</v>
      </c>
      <c r="E17" s="184">
        <v>12.2</v>
      </c>
      <c r="F17" s="184" t="s">
        <v>484</v>
      </c>
      <c r="G17" s="176">
        <v>13</v>
      </c>
      <c r="H17" s="176">
        <v>0</v>
      </c>
      <c r="I17" s="177">
        <f t="shared" si="1"/>
        <v>0</v>
      </c>
      <c r="J17" s="178">
        <f t="shared" si="0"/>
        <v>300000</v>
      </c>
      <c r="K17" s="225" t="s">
        <v>595</v>
      </c>
      <c r="L17" s="168"/>
      <c r="M17" s="187">
        <f>J25+J53</f>
        <v>10420000</v>
      </c>
      <c r="N17" s="168"/>
    </row>
    <row r="18" spans="1:14" x14ac:dyDescent="0.3">
      <c r="A18" s="173">
        <v>16</v>
      </c>
      <c r="B18" s="174">
        <v>18861</v>
      </c>
      <c r="C18" s="175" t="s">
        <v>351</v>
      </c>
      <c r="D18" s="175" t="s">
        <v>352</v>
      </c>
      <c r="E18" s="175">
        <v>21.6</v>
      </c>
      <c r="F18" s="175" t="s">
        <v>573</v>
      </c>
      <c r="G18" s="188">
        <v>26</v>
      </c>
      <c r="H18" s="188">
        <v>3</v>
      </c>
      <c r="I18" s="177">
        <v>30000</v>
      </c>
      <c r="J18" s="178">
        <f t="shared" si="0"/>
        <v>270000</v>
      </c>
      <c r="K18" s="225" t="s">
        <v>595</v>
      </c>
      <c r="L18" s="168"/>
      <c r="M18" s="168"/>
      <c r="N18" s="168"/>
    </row>
    <row r="19" spans="1:14" x14ac:dyDescent="0.3">
      <c r="A19" s="173">
        <v>17</v>
      </c>
      <c r="B19" s="174">
        <v>14715</v>
      </c>
      <c r="C19" s="175" t="s">
        <v>339</v>
      </c>
      <c r="D19" s="175" t="s">
        <v>340</v>
      </c>
      <c r="E19" s="175">
        <v>13.1</v>
      </c>
      <c r="F19" s="175" t="s">
        <v>573</v>
      </c>
      <c r="G19" s="176">
        <v>16</v>
      </c>
      <c r="H19" s="176">
        <v>4</v>
      </c>
      <c r="I19" s="177">
        <v>40000</v>
      </c>
      <c r="J19" s="178">
        <f t="shared" si="0"/>
        <v>260000</v>
      </c>
      <c r="K19" s="225" t="s">
        <v>595</v>
      </c>
      <c r="L19" s="168"/>
      <c r="M19" s="168"/>
      <c r="N19" s="168"/>
    </row>
    <row r="20" spans="1:14" x14ac:dyDescent="0.3">
      <c r="A20" s="173">
        <v>18</v>
      </c>
      <c r="B20" s="181">
        <v>38600</v>
      </c>
      <c r="C20" s="176" t="s">
        <v>571</v>
      </c>
      <c r="D20" s="176" t="s">
        <v>161</v>
      </c>
      <c r="E20" s="175">
        <v>20.100000000000001</v>
      </c>
      <c r="F20" s="175" t="s">
        <v>485</v>
      </c>
      <c r="G20" s="176">
        <v>20</v>
      </c>
      <c r="H20" s="176">
        <v>0</v>
      </c>
      <c r="I20" s="177">
        <f t="shared" si="1"/>
        <v>0</v>
      </c>
      <c r="J20" s="178">
        <f t="shared" si="0"/>
        <v>300000</v>
      </c>
      <c r="K20" s="225" t="s">
        <v>595</v>
      </c>
      <c r="L20" s="168"/>
      <c r="M20" s="168"/>
      <c r="N20" s="168"/>
    </row>
    <row r="21" spans="1:14" x14ac:dyDescent="0.3">
      <c r="A21" s="173">
        <v>19</v>
      </c>
      <c r="B21" s="174">
        <v>25160</v>
      </c>
      <c r="C21" s="179" t="s">
        <v>41</v>
      </c>
      <c r="D21" s="175" t="s">
        <v>42</v>
      </c>
      <c r="E21" s="175">
        <v>13.8</v>
      </c>
      <c r="F21" s="175" t="s">
        <v>484</v>
      </c>
      <c r="G21" s="189">
        <v>15</v>
      </c>
      <c r="H21" s="189">
        <v>0</v>
      </c>
      <c r="I21" s="177">
        <f t="shared" si="1"/>
        <v>0</v>
      </c>
      <c r="J21" s="178">
        <f t="shared" si="0"/>
        <v>300000</v>
      </c>
      <c r="K21" s="225" t="s">
        <v>595</v>
      </c>
      <c r="L21" s="168"/>
      <c r="M21" s="168"/>
      <c r="N21" s="168"/>
    </row>
    <row r="22" spans="1:14" x14ac:dyDescent="0.3">
      <c r="A22" s="173">
        <v>20</v>
      </c>
      <c r="B22" s="174">
        <v>30376</v>
      </c>
      <c r="C22" s="179" t="s">
        <v>52</v>
      </c>
      <c r="D22" s="184" t="s">
        <v>53</v>
      </c>
      <c r="E22" s="184">
        <v>27</v>
      </c>
      <c r="F22" s="175" t="s">
        <v>573</v>
      </c>
      <c r="G22" s="176">
        <v>33</v>
      </c>
      <c r="H22" s="176">
        <v>0</v>
      </c>
      <c r="I22" s="177">
        <f t="shared" si="1"/>
        <v>0</v>
      </c>
      <c r="J22" s="178">
        <f t="shared" si="0"/>
        <v>300000</v>
      </c>
      <c r="K22" s="168" t="s">
        <v>595</v>
      </c>
      <c r="L22" s="168"/>
      <c r="M22" s="168"/>
      <c r="N22" s="168"/>
    </row>
    <row r="23" spans="1:14" x14ac:dyDescent="0.3">
      <c r="A23" s="173">
        <v>21</v>
      </c>
      <c r="B23" s="190">
        <v>34332</v>
      </c>
      <c r="C23" s="176" t="s">
        <v>157</v>
      </c>
      <c r="D23" s="175" t="s">
        <v>158</v>
      </c>
      <c r="E23" s="184">
        <v>16.2</v>
      </c>
      <c r="F23" s="175" t="s">
        <v>484</v>
      </c>
      <c r="G23" s="176">
        <v>17</v>
      </c>
      <c r="H23" s="176">
        <v>0</v>
      </c>
      <c r="I23" s="177">
        <f t="shared" si="1"/>
        <v>0</v>
      </c>
      <c r="J23" s="178">
        <f t="shared" si="0"/>
        <v>300000</v>
      </c>
      <c r="K23" s="168"/>
      <c r="L23" s="168"/>
      <c r="M23" s="168"/>
      <c r="N23" s="168"/>
    </row>
    <row r="24" spans="1:14" x14ac:dyDescent="0.3">
      <c r="A24" s="173">
        <v>22</v>
      </c>
      <c r="B24" s="174">
        <v>37787</v>
      </c>
      <c r="C24" s="176" t="s">
        <v>574</v>
      </c>
      <c r="D24" s="175" t="s">
        <v>575</v>
      </c>
      <c r="E24" s="184">
        <v>27.1</v>
      </c>
      <c r="F24" s="175" t="s">
        <v>485</v>
      </c>
      <c r="G24" s="176">
        <v>28</v>
      </c>
      <c r="H24" s="176">
        <v>0</v>
      </c>
      <c r="I24" s="177">
        <f t="shared" si="1"/>
        <v>0</v>
      </c>
      <c r="J24" s="178">
        <f t="shared" si="0"/>
        <v>300000</v>
      </c>
      <c r="K24" s="225" t="s">
        <v>595</v>
      </c>
      <c r="L24" s="168"/>
      <c r="M24" s="168"/>
      <c r="N24" s="168"/>
    </row>
    <row r="25" spans="1:14" x14ac:dyDescent="0.3">
      <c r="A25" s="168"/>
      <c r="B25" s="168"/>
      <c r="C25" s="168"/>
      <c r="D25" s="168"/>
      <c r="E25" s="168"/>
      <c r="F25" s="168"/>
      <c r="G25" s="183"/>
      <c r="H25" s="183"/>
      <c r="I25" s="192">
        <f>SUM(I3:I24)</f>
        <v>1550000</v>
      </c>
      <c r="J25" s="192">
        <f>SUM(J3:J24)</f>
        <v>5050000</v>
      </c>
      <c r="K25" s="168"/>
      <c r="L25" s="168"/>
      <c r="M25" s="168"/>
      <c r="N25" s="168"/>
    </row>
    <row r="26" spans="1:14" ht="15.6" x14ac:dyDescent="0.3">
      <c r="A26" s="168"/>
      <c r="B26" s="193"/>
      <c r="C26" s="168"/>
      <c r="D26" s="194"/>
      <c r="E26" s="195"/>
      <c r="F26" s="195"/>
      <c r="G26" s="168"/>
      <c r="H26" s="168"/>
      <c r="I26" s="192" t="s">
        <v>584</v>
      </c>
      <c r="J26" s="196">
        <f>I25+J25</f>
        <v>6600000</v>
      </c>
      <c r="K26" s="168"/>
      <c r="L26" s="168"/>
      <c r="M26" s="168"/>
      <c r="N26" s="168"/>
    </row>
    <row r="27" spans="1:14" ht="15.6" x14ac:dyDescent="0.3">
      <c r="A27" s="168"/>
      <c r="B27" s="193"/>
      <c r="C27" s="168"/>
      <c r="D27" s="194"/>
      <c r="E27" s="195"/>
      <c r="F27" s="195"/>
      <c r="G27" s="168"/>
      <c r="H27" s="168"/>
      <c r="I27" s="197"/>
      <c r="J27" s="198"/>
      <c r="K27" s="168"/>
      <c r="L27" s="168"/>
      <c r="M27" s="168"/>
      <c r="N27" s="168"/>
    </row>
    <row r="28" spans="1:14" ht="15.6" customHeight="1" x14ac:dyDescent="0.3">
      <c r="A28" s="168"/>
      <c r="B28" s="193"/>
      <c r="C28" s="168"/>
      <c r="D28" s="194"/>
      <c r="E28" s="195"/>
      <c r="F28" s="195"/>
      <c r="G28" s="168"/>
      <c r="H28" s="168"/>
      <c r="I28" s="197"/>
      <c r="J28" s="198"/>
      <c r="K28" s="168"/>
      <c r="L28" s="168"/>
      <c r="M28" s="168"/>
      <c r="N28" s="168"/>
    </row>
    <row r="29" spans="1:14" x14ac:dyDescent="0.3">
      <c r="A29" s="314" t="s">
        <v>594</v>
      </c>
      <c r="B29" s="314"/>
      <c r="C29" s="314"/>
      <c r="D29" s="314"/>
      <c r="E29" s="314"/>
      <c r="F29" s="314"/>
      <c r="G29" s="314"/>
      <c r="H29" s="314"/>
      <c r="I29" s="314"/>
      <c r="J29" s="314"/>
      <c r="K29" s="168"/>
      <c r="L29" s="168"/>
      <c r="M29" s="168"/>
      <c r="N29" s="168"/>
    </row>
    <row r="30" spans="1:14" x14ac:dyDescent="0.3">
      <c r="A30" s="168"/>
      <c r="B30" s="169" t="s">
        <v>2</v>
      </c>
      <c r="C30" s="170" t="s">
        <v>3</v>
      </c>
      <c r="D30" s="169" t="s">
        <v>4</v>
      </c>
      <c r="E30" s="169" t="s">
        <v>577</v>
      </c>
      <c r="F30" s="169" t="s">
        <v>576</v>
      </c>
      <c r="G30" s="171" t="s">
        <v>578</v>
      </c>
      <c r="H30" s="171" t="s">
        <v>579</v>
      </c>
      <c r="I30" s="169" t="s">
        <v>580</v>
      </c>
      <c r="J30" s="171" t="s">
        <v>581</v>
      </c>
      <c r="K30" s="168"/>
      <c r="L30" s="168"/>
      <c r="M30" s="168"/>
      <c r="N30" s="168"/>
    </row>
    <row r="31" spans="1:14" x14ac:dyDescent="0.3">
      <c r="A31" s="199">
        <v>1</v>
      </c>
      <c r="B31" s="174">
        <v>14084</v>
      </c>
      <c r="C31" s="175" t="s">
        <v>39</v>
      </c>
      <c r="D31" s="175" t="s">
        <v>40</v>
      </c>
      <c r="E31" s="175">
        <v>15.2</v>
      </c>
      <c r="F31" s="175" t="s">
        <v>484</v>
      </c>
      <c r="G31" s="200">
        <v>16</v>
      </c>
      <c r="H31" s="200">
        <v>8</v>
      </c>
      <c r="I31" s="177">
        <v>70000</v>
      </c>
      <c r="J31" s="201">
        <f>$M$3-I31</f>
        <v>230000</v>
      </c>
      <c r="K31" s="225" t="s">
        <v>595</v>
      </c>
      <c r="L31" s="168" t="s">
        <v>596</v>
      </c>
      <c r="M31" s="168"/>
      <c r="N31" s="168"/>
    </row>
    <row r="32" spans="1:14" x14ac:dyDescent="0.3">
      <c r="A32" s="199">
        <v>2</v>
      </c>
      <c r="B32" s="174">
        <v>4080</v>
      </c>
      <c r="C32" s="175" t="s">
        <v>191</v>
      </c>
      <c r="D32" s="175" t="s">
        <v>106</v>
      </c>
      <c r="E32" s="175">
        <v>15.5</v>
      </c>
      <c r="F32" s="175" t="s">
        <v>484</v>
      </c>
      <c r="G32" s="176">
        <v>17</v>
      </c>
      <c r="H32" s="176">
        <v>18</v>
      </c>
      <c r="I32" s="177">
        <v>160000</v>
      </c>
      <c r="J32" s="201">
        <f t="shared" ref="J32:J52" si="2">$M$3-I32</f>
        <v>140000</v>
      </c>
      <c r="K32" s="225" t="s">
        <v>595</v>
      </c>
      <c r="L32" s="168"/>
      <c r="M32" s="168"/>
      <c r="N32" s="168"/>
    </row>
    <row r="33" spans="1:14" x14ac:dyDescent="0.3">
      <c r="A33" s="199">
        <v>3</v>
      </c>
      <c r="B33" s="174">
        <v>31818</v>
      </c>
      <c r="C33" s="175" t="s">
        <v>235</v>
      </c>
      <c r="D33" s="175" t="s">
        <v>236</v>
      </c>
      <c r="E33" s="175">
        <v>17.899999999999999</v>
      </c>
      <c r="F33" s="175" t="s">
        <v>484</v>
      </c>
      <c r="G33" s="176">
        <v>20</v>
      </c>
      <c r="H33" s="176">
        <v>8</v>
      </c>
      <c r="I33" s="177">
        <v>70000</v>
      </c>
      <c r="J33" s="201">
        <f t="shared" si="2"/>
        <v>230000</v>
      </c>
      <c r="K33" s="225" t="s">
        <v>595</v>
      </c>
      <c r="L33" s="168"/>
      <c r="M33" s="168"/>
      <c r="N33" s="168"/>
    </row>
    <row r="34" spans="1:14" x14ac:dyDescent="0.3">
      <c r="A34" s="199">
        <v>4</v>
      </c>
      <c r="B34" s="174">
        <v>27435</v>
      </c>
      <c r="C34" s="175" t="s">
        <v>151</v>
      </c>
      <c r="D34" s="175" t="s">
        <v>152</v>
      </c>
      <c r="E34" s="175">
        <v>12.7</v>
      </c>
      <c r="F34" s="175" t="s">
        <v>484</v>
      </c>
      <c r="G34" s="176">
        <v>13</v>
      </c>
      <c r="H34" s="176">
        <v>9</v>
      </c>
      <c r="I34" s="177">
        <v>80000</v>
      </c>
      <c r="J34" s="201">
        <f t="shared" si="2"/>
        <v>220000</v>
      </c>
      <c r="K34" s="225" t="s">
        <v>595</v>
      </c>
      <c r="L34" s="168"/>
      <c r="M34" s="168"/>
      <c r="N34" s="168"/>
    </row>
    <row r="35" spans="1:14" x14ac:dyDescent="0.3">
      <c r="A35" s="199">
        <v>5</v>
      </c>
      <c r="B35" s="174">
        <v>32182</v>
      </c>
      <c r="C35" s="175" t="s">
        <v>188</v>
      </c>
      <c r="D35" s="175" t="s">
        <v>189</v>
      </c>
      <c r="E35" s="175">
        <v>21.7</v>
      </c>
      <c r="F35" s="175" t="s">
        <v>485</v>
      </c>
      <c r="G35" s="176">
        <v>22</v>
      </c>
      <c r="H35" s="176">
        <v>4</v>
      </c>
      <c r="I35" s="177">
        <v>40000</v>
      </c>
      <c r="J35" s="201">
        <f t="shared" si="2"/>
        <v>260000</v>
      </c>
      <c r="K35" s="168"/>
      <c r="L35" s="168"/>
      <c r="M35" s="168"/>
      <c r="N35" s="168"/>
    </row>
    <row r="36" spans="1:14" x14ac:dyDescent="0.3">
      <c r="A36" s="199">
        <v>6</v>
      </c>
      <c r="B36" s="174">
        <v>17043</v>
      </c>
      <c r="C36" s="175" t="s">
        <v>118</v>
      </c>
      <c r="D36" s="175" t="s">
        <v>119</v>
      </c>
      <c r="E36" s="175">
        <v>18.5</v>
      </c>
      <c r="F36" s="175" t="s">
        <v>485</v>
      </c>
      <c r="G36" s="200">
        <v>18</v>
      </c>
      <c r="H36" s="200">
        <v>15</v>
      </c>
      <c r="I36" s="177">
        <v>140000</v>
      </c>
      <c r="J36" s="201">
        <f t="shared" si="2"/>
        <v>160000</v>
      </c>
      <c r="K36" s="225" t="s">
        <v>595</v>
      </c>
      <c r="L36" s="168"/>
      <c r="M36" s="168"/>
      <c r="N36" s="168"/>
    </row>
    <row r="37" spans="1:14" x14ac:dyDescent="0.3">
      <c r="A37" s="199">
        <v>7</v>
      </c>
      <c r="B37" s="186">
        <v>27233</v>
      </c>
      <c r="C37" s="176" t="s">
        <v>193</v>
      </c>
      <c r="D37" s="176" t="s">
        <v>194</v>
      </c>
      <c r="E37" s="175">
        <v>28.1</v>
      </c>
      <c r="F37" s="175" t="s">
        <v>485</v>
      </c>
      <c r="G37" s="176">
        <v>29</v>
      </c>
      <c r="H37" s="176">
        <v>15</v>
      </c>
      <c r="I37" s="177">
        <v>140000</v>
      </c>
      <c r="J37" s="201">
        <f t="shared" si="2"/>
        <v>160000</v>
      </c>
      <c r="K37" s="225" t="s">
        <v>595</v>
      </c>
      <c r="L37" s="168"/>
      <c r="M37" s="168"/>
      <c r="N37" s="168"/>
    </row>
    <row r="38" spans="1:14" x14ac:dyDescent="0.3">
      <c r="A38" s="199">
        <v>8</v>
      </c>
      <c r="B38" s="174">
        <v>7891</v>
      </c>
      <c r="C38" s="175" t="s">
        <v>220</v>
      </c>
      <c r="D38" s="175" t="s">
        <v>221</v>
      </c>
      <c r="E38" s="175">
        <v>19.7</v>
      </c>
      <c r="F38" s="175" t="s">
        <v>485</v>
      </c>
      <c r="G38" s="176">
        <v>20</v>
      </c>
      <c r="H38" s="176">
        <v>18</v>
      </c>
      <c r="I38" s="177">
        <v>160000</v>
      </c>
      <c r="J38" s="201">
        <f t="shared" si="2"/>
        <v>140000</v>
      </c>
      <c r="K38" s="225" t="s">
        <v>595</v>
      </c>
      <c r="L38" s="168"/>
      <c r="M38" s="168"/>
      <c r="N38" s="168"/>
    </row>
    <row r="39" spans="1:14" x14ac:dyDescent="0.3">
      <c r="A39" s="199">
        <v>9</v>
      </c>
      <c r="B39" s="202">
        <v>17558</v>
      </c>
      <c r="C39" s="175" t="s">
        <v>333</v>
      </c>
      <c r="D39" s="175" t="s">
        <v>471</v>
      </c>
      <c r="E39" s="175">
        <v>30.2</v>
      </c>
      <c r="F39" s="175" t="s">
        <v>485</v>
      </c>
      <c r="G39" s="200">
        <v>31</v>
      </c>
      <c r="H39" s="200">
        <v>1</v>
      </c>
      <c r="I39" s="177">
        <v>10000</v>
      </c>
      <c r="J39" s="201">
        <f t="shared" si="2"/>
        <v>290000</v>
      </c>
      <c r="K39" s="225" t="s">
        <v>595</v>
      </c>
      <c r="L39" s="168"/>
      <c r="M39" s="168"/>
      <c r="N39" s="168"/>
    </row>
    <row r="40" spans="1:14" x14ac:dyDescent="0.3">
      <c r="A40" s="199">
        <v>10</v>
      </c>
      <c r="B40" s="174">
        <v>20408</v>
      </c>
      <c r="C40" s="175" t="s">
        <v>302</v>
      </c>
      <c r="D40" s="175" t="s">
        <v>303</v>
      </c>
      <c r="E40" s="175">
        <v>14.9</v>
      </c>
      <c r="F40" s="175" t="s">
        <v>484</v>
      </c>
      <c r="G40" s="176">
        <v>16</v>
      </c>
      <c r="H40" s="176">
        <v>0</v>
      </c>
      <c r="I40" s="177">
        <f t="shared" ref="I40:I52" si="3">H40*$N$2</f>
        <v>0</v>
      </c>
      <c r="J40" s="201">
        <f t="shared" si="2"/>
        <v>300000</v>
      </c>
      <c r="K40" s="225" t="s">
        <v>595</v>
      </c>
      <c r="L40" s="168"/>
      <c r="M40" s="168"/>
      <c r="N40" s="168"/>
    </row>
    <row r="41" spans="1:14" x14ac:dyDescent="0.3">
      <c r="A41" s="199">
        <v>11</v>
      </c>
      <c r="B41" s="174">
        <v>12531</v>
      </c>
      <c r="C41" s="175" t="s">
        <v>366</v>
      </c>
      <c r="D41" s="175" t="s">
        <v>367</v>
      </c>
      <c r="E41" s="175">
        <v>4.4000000000000004</v>
      </c>
      <c r="F41" s="175" t="s">
        <v>484</v>
      </c>
      <c r="G41" s="176">
        <v>3</v>
      </c>
      <c r="H41" s="176">
        <v>1</v>
      </c>
      <c r="I41" s="177">
        <v>10000</v>
      </c>
      <c r="J41" s="201">
        <f t="shared" si="2"/>
        <v>290000</v>
      </c>
      <c r="K41" s="225" t="s">
        <v>595</v>
      </c>
      <c r="L41" s="168"/>
      <c r="M41" s="168"/>
      <c r="N41" s="168"/>
    </row>
    <row r="42" spans="1:14" x14ac:dyDescent="0.3">
      <c r="A42" s="199">
        <v>12</v>
      </c>
      <c r="B42" s="174">
        <v>22617</v>
      </c>
      <c r="C42" s="175" t="s">
        <v>326</v>
      </c>
      <c r="D42" s="175" t="s">
        <v>327</v>
      </c>
      <c r="E42" s="184">
        <v>17.5</v>
      </c>
      <c r="F42" s="175" t="s">
        <v>573</v>
      </c>
      <c r="G42" s="176">
        <v>21</v>
      </c>
      <c r="H42" s="176">
        <v>1</v>
      </c>
      <c r="I42" s="177">
        <v>10000</v>
      </c>
      <c r="J42" s="201">
        <f t="shared" si="2"/>
        <v>290000</v>
      </c>
      <c r="K42" s="225" t="s">
        <v>595</v>
      </c>
      <c r="L42" s="168"/>
      <c r="M42" s="168"/>
      <c r="N42" s="168"/>
    </row>
    <row r="43" spans="1:14" x14ac:dyDescent="0.3">
      <c r="A43" s="199">
        <v>13</v>
      </c>
      <c r="B43" s="174">
        <v>32313</v>
      </c>
      <c r="C43" s="175" t="s">
        <v>341</v>
      </c>
      <c r="D43" s="175" t="s">
        <v>369</v>
      </c>
      <c r="E43" s="175">
        <v>28</v>
      </c>
      <c r="F43" s="175" t="s">
        <v>573</v>
      </c>
      <c r="G43" s="200">
        <v>34</v>
      </c>
      <c r="H43" s="200">
        <v>0</v>
      </c>
      <c r="I43" s="177">
        <f t="shared" si="3"/>
        <v>0</v>
      </c>
      <c r="J43" s="201">
        <f t="shared" si="2"/>
        <v>300000</v>
      </c>
      <c r="K43" s="225" t="s">
        <v>595</v>
      </c>
      <c r="L43" s="168"/>
      <c r="M43" s="168"/>
      <c r="N43" s="168"/>
    </row>
    <row r="44" spans="1:14" x14ac:dyDescent="0.3">
      <c r="A44" s="199">
        <v>14</v>
      </c>
      <c r="B44" s="174">
        <v>3616</v>
      </c>
      <c r="C44" s="175" t="s">
        <v>141</v>
      </c>
      <c r="D44" s="175" t="s">
        <v>142</v>
      </c>
      <c r="E44" s="175">
        <v>11.1</v>
      </c>
      <c r="F44" s="175" t="s">
        <v>484</v>
      </c>
      <c r="G44" s="176">
        <v>11</v>
      </c>
      <c r="H44" s="176">
        <v>0</v>
      </c>
      <c r="I44" s="177">
        <f t="shared" si="3"/>
        <v>0</v>
      </c>
      <c r="J44" s="201">
        <f t="shared" si="2"/>
        <v>300000</v>
      </c>
      <c r="K44" s="225" t="s">
        <v>595</v>
      </c>
      <c r="L44" s="168"/>
      <c r="M44" s="168"/>
      <c r="N44" s="168"/>
    </row>
    <row r="45" spans="1:14" x14ac:dyDescent="0.3">
      <c r="A45" s="199">
        <v>15</v>
      </c>
      <c r="B45" s="174">
        <v>27116</v>
      </c>
      <c r="C45" s="175" t="s">
        <v>355</v>
      </c>
      <c r="D45" s="175" t="s">
        <v>356</v>
      </c>
      <c r="E45" s="175">
        <v>15</v>
      </c>
      <c r="F45" s="175" t="s">
        <v>484</v>
      </c>
      <c r="G45" s="176">
        <v>16</v>
      </c>
      <c r="H45" s="176">
        <v>0</v>
      </c>
      <c r="I45" s="177">
        <f t="shared" si="3"/>
        <v>0</v>
      </c>
      <c r="J45" s="201">
        <f t="shared" si="2"/>
        <v>300000</v>
      </c>
      <c r="K45" s="225" t="s">
        <v>595</v>
      </c>
      <c r="L45" s="168"/>
      <c r="M45" s="168"/>
      <c r="N45" s="168"/>
    </row>
    <row r="46" spans="1:14" x14ac:dyDescent="0.3">
      <c r="A46" s="173">
        <v>16</v>
      </c>
      <c r="B46" s="175">
        <v>33424</v>
      </c>
      <c r="C46" s="179" t="s">
        <v>175</v>
      </c>
      <c r="D46" s="175" t="s">
        <v>176</v>
      </c>
      <c r="E46" s="184">
        <v>10.7</v>
      </c>
      <c r="F46" s="175" t="s">
        <v>484</v>
      </c>
      <c r="G46" s="176">
        <v>11</v>
      </c>
      <c r="H46" s="176">
        <v>0</v>
      </c>
      <c r="I46" s="177">
        <f t="shared" si="3"/>
        <v>0</v>
      </c>
      <c r="J46" s="201">
        <f>$M$3-I46</f>
        <v>300000</v>
      </c>
      <c r="K46" s="225" t="s">
        <v>595</v>
      </c>
      <c r="L46" s="168"/>
      <c r="M46" s="168"/>
      <c r="N46" s="168"/>
    </row>
    <row r="47" spans="1:14" x14ac:dyDescent="0.3">
      <c r="A47" s="199">
        <v>17</v>
      </c>
      <c r="B47" s="174">
        <v>30087</v>
      </c>
      <c r="C47" s="175" t="s">
        <v>149</v>
      </c>
      <c r="D47" s="175" t="s">
        <v>150</v>
      </c>
      <c r="E47" s="184">
        <v>12.1</v>
      </c>
      <c r="F47" s="175" t="s">
        <v>484</v>
      </c>
      <c r="G47" s="176">
        <v>12</v>
      </c>
      <c r="H47" s="176">
        <v>21</v>
      </c>
      <c r="I47" s="177">
        <v>180000</v>
      </c>
      <c r="J47" s="201">
        <f t="shared" si="2"/>
        <v>120000</v>
      </c>
      <c r="K47" s="225" t="s">
        <v>595</v>
      </c>
      <c r="L47" s="168"/>
      <c r="M47" s="168"/>
      <c r="N47" s="168"/>
    </row>
    <row r="48" spans="1:14" x14ac:dyDescent="0.3">
      <c r="A48" s="199">
        <v>18</v>
      </c>
      <c r="B48" s="186">
        <v>19187</v>
      </c>
      <c r="C48" s="176" t="s">
        <v>328</v>
      </c>
      <c r="D48" s="176" t="s">
        <v>200</v>
      </c>
      <c r="E48" s="176">
        <v>15.8</v>
      </c>
      <c r="F48" s="175" t="s">
        <v>484</v>
      </c>
      <c r="G48" s="176">
        <v>17</v>
      </c>
      <c r="H48" s="176">
        <v>8</v>
      </c>
      <c r="I48" s="177">
        <v>70000</v>
      </c>
      <c r="J48" s="201">
        <f t="shared" si="2"/>
        <v>230000</v>
      </c>
      <c r="K48" s="225" t="s">
        <v>595</v>
      </c>
      <c r="L48" s="168"/>
      <c r="M48" s="168"/>
      <c r="N48" s="168"/>
    </row>
    <row r="49" spans="1:14" x14ac:dyDescent="0.3">
      <c r="A49" s="199">
        <v>19</v>
      </c>
      <c r="B49" s="174">
        <v>3936</v>
      </c>
      <c r="C49" s="175" t="s">
        <v>462</v>
      </c>
      <c r="D49" s="175" t="s">
        <v>570</v>
      </c>
      <c r="E49" s="175">
        <v>18.8</v>
      </c>
      <c r="F49" s="176" t="s">
        <v>485</v>
      </c>
      <c r="G49" s="176">
        <v>19</v>
      </c>
      <c r="H49" s="176">
        <v>10</v>
      </c>
      <c r="I49" s="177">
        <v>90000</v>
      </c>
      <c r="J49" s="201">
        <f t="shared" si="2"/>
        <v>210000</v>
      </c>
      <c r="K49" s="225" t="s">
        <v>595</v>
      </c>
      <c r="L49" s="168"/>
      <c r="M49" s="168"/>
      <c r="N49" s="168"/>
    </row>
    <row r="50" spans="1:14" ht="15" thickBot="1" x14ac:dyDescent="0.35">
      <c r="A50" s="199">
        <v>20</v>
      </c>
      <c r="B50" s="186">
        <v>20941</v>
      </c>
      <c r="C50" s="176" t="s">
        <v>105</v>
      </c>
      <c r="D50" s="176" t="s">
        <v>106</v>
      </c>
      <c r="E50" s="176">
        <v>5.0999999999999996</v>
      </c>
      <c r="F50" s="175" t="s">
        <v>484</v>
      </c>
      <c r="G50" s="185">
        <v>4</v>
      </c>
      <c r="H50" s="185">
        <v>0</v>
      </c>
      <c r="I50" s="177"/>
      <c r="J50" s="201">
        <f t="shared" si="2"/>
        <v>300000</v>
      </c>
      <c r="K50" s="225" t="s">
        <v>595</v>
      </c>
      <c r="L50" s="168"/>
      <c r="M50" s="168"/>
      <c r="N50" s="168"/>
    </row>
    <row r="51" spans="1:14" x14ac:dyDescent="0.3">
      <c r="A51" s="199">
        <v>21</v>
      </c>
      <c r="B51" s="184">
        <v>24768</v>
      </c>
      <c r="C51" s="267" t="s">
        <v>642</v>
      </c>
      <c r="D51" s="267" t="s">
        <v>211</v>
      </c>
      <c r="E51" s="175">
        <v>19.100000000000001</v>
      </c>
      <c r="F51" s="175" t="s">
        <v>485</v>
      </c>
      <c r="G51" s="176">
        <v>19</v>
      </c>
      <c r="H51" s="176">
        <v>0</v>
      </c>
      <c r="I51" s="177">
        <f t="shared" si="3"/>
        <v>0</v>
      </c>
      <c r="J51" s="201">
        <f t="shared" si="2"/>
        <v>300000</v>
      </c>
      <c r="K51" s="168"/>
      <c r="L51" s="168"/>
      <c r="M51" s="168"/>
      <c r="N51" s="168"/>
    </row>
    <row r="52" spans="1:14" x14ac:dyDescent="0.3">
      <c r="A52" s="199">
        <v>22</v>
      </c>
      <c r="B52" s="175">
        <v>34428</v>
      </c>
      <c r="C52" s="176" t="s">
        <v>589</v>
      </c>
      <c r="D52" s="175" t="s">
        <v>590</v>
      </c>
      <c r="E52" s="175">
        <v>27.1</v>
      </c>
      <c r="F52" s="175" t="s">
        <v>485</v>
      </c>
      <c r="G52" s="176">
        <v>28</v>
      </c>
      <c r="H52" s="176">
        <v>0</v>
      </c>
      <c r="I52" s="177">
        <f t="shared" si="3"/>
        <v>0</v>
      </c>
      <c r="J52" s="201">
        <f t="shared" si="2"/>
        <v>300000</v>
      </c>
      <c r="K52" s="225" t="s">
        <v>595</v>
      </c>
      <c r="L52" s="168"/>
      <c r="M52" s="168"/>
      <c r="N52" s="168"/>
    </row>
    <row r="53" spans="1:14" ht="15.6" x14ac:dyDescent="0.3">
      <c r="A53" s="168"/>
      <c r="B53" s="203"/>
      <c r="C53" s="168"/>
      <c r="D53" s="204"/>
      <c r="E53" s="205"/>
      <c r="F53" s="193"/>
      <c r="G53" s="183"/>
      <c r="H53" s="183"/>
      <c r="I53" s="192">
        <f>SUM(I31:I52)</f>
        <v>1230000</v>
      </c>
      <c r="J53" s="192">
        <f>SUM(J31:J52)</f>
        <v>5370000</v>
      </c>
      <c r="K53" s="168"/>
      <c r="L53" s="168"/>
      <c r="M53" s="168"/>
      <c r="N53" s="168"/>
    </row>
    <row r="54" spans="1:14" ht="15.6" x14ac:dyDescent="0.3">
      <c r="A54" s="168"/>
      <c r="B54" s="206"/>
      <c r="C54" s="168"/>
      <c r="D54" s="204"/>
      <c r="E54" s="205"/>
      <c r="F54" s="193"/>
      <c r="G54" s="183"/>
      <c r="H54" s="183"/>
      <c r="I54" s="192" t="s">
        <v>584</v>
      </c>
      <c r="J54" s="196">
        <f>I53+J53</f>
        <v>6600000</v>
      </c>
      <c r="K54" s="168"/>
      <c r="L54" s="168"/>
      <c r="M54" s="168"/>
      <c r="N54" s="168"/>
    </row>
    <row r="55" spans="1:14" ht="15.6" x14ac:dyDescent="0.3">
      <c r="A55" s="168"/>
      <c r="B55" s="206"/>
      <c r="C55" s="168"/>
      <c r="D55" s="207"/>
      <c r="E55" s="193"/>
      <c r="F55" s="312" t="s">
        <v>592</v>
      </c>
      <c r="G55" s="312"/>
      <c r="H55" s="168"/>
      <c r="I55" s="168"/>
      <c r="J55" s="183"/>
      <c r="K55" s="168"/>
      <c r="L55" s="168"/>
      <c r="M55" s="187"/>
      <c r="N55" s="168"/>
    </row>
    <row r="56" spans="1:14" ht="15.6" x14ac:dyDescent="0.3">
      <c r="A56" s="168"/>
      <c r="B56" s="206"/>
      <c r="C56" s="168"/>
      <c r="D56" s="204"/>
      <c r="E56" s="193"/>
      <c r="F56" s="175" t="s">
        <v>585</v>
      </c>
      <c r="G56" s="180">
        <f>M2-I25-I53</f>
        <v>1710000</v>
      </c>
      <c r="H56" s="168"/>
      <c r="I56" s="187">
        <f>J25+J53</f>
        <v>10420000</v>
      </c>
      <c r="J56" s="183"/>
      <c r="K56" s="168"/>
      <c r="L56" s="187"/>
      <c r="M56" s="214"/>
      <c r="N56" s="168"/>
    </row>
    <row r="57" spans="1:14" ht="15.6" x14ac:dyDescent="0.3">
      <c r="A57" s="168"/>
      <c r="B57" s="206"/>
      <c r="C57" s="168"/>
      <c r="D57" s="204"/>
      <c r="E57" s="193"/>
      <c r="F57" s="175" t="s">
        <v>586</v>
      </c>
      <c r="G57" s="180">
        <f>44*300000</f>
        <v>13200000</v>
      </c>
      <c r="H57" s="168"/>
      <c r="I57" s="168"/>
      <c r="J57" s="183"/>
      <c r="K57" s="168"/>
      <c r="L57" s="168"/>
      <c r="M57" s="168"/>
      <c r="N57" s="168"/>
    </row>
    <row r="58" spans="1:14" ht="15.6" x14ac:dyDescent="0.3">
      <c r="A58" s="168"/>
      <c r="B58" s="206"/>
      <c r="C58" s="168"/>
      <c r="D58" s="204"/>
      <c r="E58" s="193"/>
      <c r="F58" s="175"/>
      <c r="G58" s="180"/>
      <c r="H58" s="168"/>
      <c r="I58" s="168"/>
      <c r="J58" s="183"/>
      <c r="K58" s="168"/>
      <c r="L58" s="168"/>
      <c r="M58" s="168"/>
      <c r="N58" s="168"/>
    </row>
    <row r="59" spans="1:14" ht="15.6" x14ac:dyDescent="0.3">
      <c r="A59" s="168"/>
      <c r="B59" s="208"/>
      <c r="C59" s="168"/>
      <c r="D59" s="204"/>
      <c r="E59" s="193"/>
      <c r="F59" s="191"/>
      <c r="G59" s="209">
        <f>SUM(G56:G58)</f>
        <v>14910000</v>
      </c>
      <c r="H59" s="168"/>
      <c r="I59" s="168"/>
      <c r="J59" s="183"/>
      <c r="K59" s="168"/>
      <c r="L59" s="168"/>
      <c r="M59" s="168"/>
      <c r="N59" s="168"/>
    </row>
    <row r="60" spans="1:14" ht="15.6" x14ac:dyDescent="0.3">
      <c r="A60" s="168"/>
      <c r="B60" s="193"/>
      <c r="C60" s="168"/>
      <c r="D60" s="204"/>
      <c r="E60" s="205"/>
      <c r="F60" s="191"/>
      <c r="G60" s="183"/>
      <c r="H60" s="183"/>
      <c r="I60" s="168"/>
      <c r="J60" s="183"/>
      <c r="K60" s="168"/>
      <c r="L60" s="168"/>
      <c r="M60" s="168"/>
      <c r="N60" s="168"/>
    </row>
    <row r="61" spans="1:14" ht="15.6" x14ac:dyDescent="0.3">
      <c r="A61" s="168"/>
      <c r="B61" s="203"/>
      <c r="C61" s="168"/>
      <c r="D61" s="204"/>
      <c r="E61" s="205"/>
      <c r="F61" s="311" t="s">
        <v>591</v>
      </c>
      <c r="G61" s="311"/>
      <c r="H61" s="183"/>
      <c r="I61" s="168"/>
      <c r="J61" s="183"/>
      <c r="K61" s="168"/>
      <c r="L61" s="168"/>
      <c r="M61" s="168"/>
      <c r="N61" s="168"/>
    </row>
    <row r="62" spans="1:14" ht="15.6" x14ac:dyDescent="0.3">
      <c r="A62" s="168"/>
      <c r="B62" s="206"/>
      <c r="C62" s="168"/>
      <c r="D62" s="207"/>
      <c r="E62" s="193"/>
      <c r="F62" s="175" t="s">
        <v>587</v>
      </c>
      <c r="G62" s="222">
        <v>2500000</v>
      </c>
      <c r="H62" s="168"/>
      <c r="I62" s="176" t="s">
        <v>647</v>
      </c>
      <c r="J62" s="301">
        <v>8960000</v>
      </c>
      <c r="K62" s="168"/>
      <c r="L62" s="168"/>
      <c r="M62" s="168"/>
      <c r="N62" s="168"/>
    </row>
    <row r="63" spans="1:14" ht="15.6" x14ac:dyDescent="0.3">
      <c r="A63" s="168"/>
      <c r="B63" s="208"/>
      <c r="C63" s="168"/>
      <c r="D63" s="207"/>
      <c r="E63" s="193"/>
      <c r="F63" s="175" t="s">
        <v>597</v>
      </c>
      <c r="G63" s="222">
        <f>95273*44</f>
        <v>4192012</v>
      </c>
      <c r="H63" s="168"/>
      <c r="I63" s="176" t="s">
        <v>648</v>
      </c>
      <c r="J63" s="301">
        <f>1590000+280000</f>
        <v>1870000</v>
      </c>
      <c r="K63" s="168"/>
      <c r="L63" s="168"/>
      <c r="M63" s="168"/>
      <c r="N63" s="168"/>
    </row>
    <row r="64" spans="1:14" ht="15.6" x14ac:dyDescent="0.3">
      <c r="A64" s="168"/>
      <c r="B64" s="193"/>
      <c r="C64" s="168"/>
      <c r="D64" s="204"/>
      <c r="E64" s="193"/>
      <c r="F64" s="175" t="s">
        <v>572</v>
      </c>
      <c r="G64" s="180">
        <v>1424000</v>
      </c>
      <c r="H64" s="210"/>
      <c r="I64" s="299" t="s">
        <v>649</v>
      </c>
      <c r="J64" s="301">
        <f>570000+600000</f>
        <v>1170000</v>
      </c>
      <c r="K64" s="168"/>
      <c r="L64" s="168"/>
      <c r="M64" s="168"/>
      <c r="N64" s="168"/>
    </row>
    <row r="65" spans="1:14" ht="15.6" x14ac:dyDescent="0.3">
      <c r="A65" s="168"/>
      <c r="B65" s="203"/>
      <c r="C65" s="168"/>
      <c r="D65" s="194"/>
      <c r="E65" s="195"/>
      <c r="F65" s="175" t="s">
        <v>588</v>
      </c>
      <c r="G65" s="222">
        <v>800000</v>
      </c>
      <c r="H65" s="183"/>
      <c r="I65" s="300" t="s">
        <v>650</v>
      </c>
      <c r="J65" s="301">
        <v>2050000</v>
      </c>
      <c r="K65" s="168"/>
      <c r="L65" s="168"/>
      <c r="M65" s="168"/>
      <c r="N65" s="168"/>
    </row>
    <row r="66" spans="1:14" ht="15.6" x14ac:dyDescent="0.3">
      <c r="A66" s="168"/>
      <c r="B66" s="203"/>
      <c r="C66" s="168"/>
      <c r="D66" s="194"/>
      <c r="E66" s="195"/>
      <c r="F66" s="184" t="s">
        <v>632</v>
      </c>
      <c r="G66" s="295">
        <f>11500*44</f>
        <v>506000</v>
      </c>
      <c r="H66" s="183"/>
      <c r="I66" s="177" t="s">
        <v>651</v>
      </c>
      <c r="J66" s="178">
        <v>300000</v>
      </c>
      <c r="K66" s="168"/>
      <c r="L66" s="168"/>
      <c r="M66" s="168"/>
      <c r="N66" s="168"/>
    </row>
    <row r="67" spans="1:14" ht="15.6" x14ac:dyDescent="0.3">
      <c r="A67" s="168"/>
      <c r="B67" s="206"/>
      <c r="C67" s="168"/>
      <c r="D67" s="204"/>
      <c r="E67" s="193"/>
      <c r="F67" s="224" t="s">
        <v>633</v>
      </c>
      <c r="G67" s="296">
        <v>1500000</v>
      </c>
      <c r="H67" s="168"/>
      <c r="I67" s="179" t="s">
        <v>652</v>
      </c>
      <c r="J67" s="178">
        <v>260000</v>
      </c>
      <c r="K67" s="168"/>
      <c r="L67" s="168"/>
      <c r="M67" s="168"/>
      <c r="N67" s="168"/>
    </row>
    <row r="68" spans="1:14" ht="15.6" x14ac:dyDescent="0.3">
      <c r="B68" s="37"/>
      <c r="D68" s="1"/>
      <c r="E68" s="2"/>
      <c r="F68" s="46" t="s">
        <v>634</v>
      </c>
      <c r="G68" s="297">
        <v>2000000</v>
      </c>
      <c r="H68"/>
      <c r="I68" s="179" t="s">
        <v>653</v>
      </c>
      <c r="J68" s="178">
        <v>300000</v>
      </c>
    </row>
    <row r="69" spans="1:14" ht="15.6" x14ac:dyDescent="0.3">
      <c r="B69" s="2"/>
      <c r="D69" s="1"/>
      <c r="E69" s="2"/>
      <c r="F69" s="46" t="s">
        <v>635</v>
      </c>
      <c r="G69" s="298">
        <v>1500000</v>
      </c>
      <c r="J69" s="302">
        <f>SUM(J62:J68)</f>
        <v>14910000</v>
      </c>
    </row>
    <row r="70" spans="1:14" ht="15.6" x14ac:dyDescent="0.3">
      <c r="B70" s="2"/>
      <c r="D70" s="36"/>
      <c r="E70" s="2"/>
      <c r="F70" s="46" t="s">
        <v>646</v>
      </c>
      <c r="G70" s="297">
        <v>200000</v>
      </c>
      <c r="H70"/>
    </row>
    <row r="71" spans="1:14" ht="15.6" x14ac:dyDescent="0.3">
      <c r="B71" s="38"/>
      <c r="D71" s="1"/>
      <c r="E71" s="39"/>
      <c r="F71" s="2"/>
      <c r="G71" s="9">
        <f>SUM(G62:G70)</f>
        <v>14622012</v>
      </c>
    </row>
    <row r="72" spans="1:14" ht="15.6" x14ac:dyDescent="0.3">
      <c r="B72" s="2"/>
      <c r="D72" s="1"/>
      <c r="E72" s="2"/>
      <c r="F72" s="2"/>
      <c r="G72"/>
      <c r="H72"/>
    </row>
    <row r="73" spans="1:14" ht="15.6" x14ac:dyDescent="0.3">
      <c r="B73" s="34"/>
      <c r="D73" s="1"/>
      <c r="E73" s="2"/>
      <c r="F73" s="2"/>
      <c r="G73"/>
      <c r="H73"/>
    </row>
    <row r="74" spans="1:14" ht="15.6" x14ac:dyDescent="0.3">
      <c r="B74" s="35"/>
      <c r="D74" s="1"/>
      <c r="E74" s="2"/>
      <c r="F74" s="2"/>
      <c r="G74"/>
      <c r="H74"/>
    </row>
    <row r="75" spans="1:14" ht="15.6" x14ac:dyDescent="0.3">
      <c r="B75" s="35"/>
      <c r="D75" s="1"/>
      <c r="E75" s="2"/>
      <c r="F75" s="2"/>
      <c r="G75"/>
      <c r="H75"/>
    </row>
    <row r="76" spans="1:14" ht="15.6" x14ac:dyDescent="0.3">
      <c r="B76" s="35"/>
      <c r="D76" s="1"/>
      <c r="E76" s="39"/>
      <c r="F76" s="2"/>
    </row>
    <row r="77" spans="1:14" ht="15.6" x14ac:dyDescent="0.3">
      <c r="B77" s="37"/>
      <c r="D77" s="1"/>
      <c r="E77" s="2"/>
      <c r="F77" s="2"/>
    </row>
    <row r="78" spans="1:14" ht="15.6" x14ac:dyDescent="0.3">
      <c r="B78" s="2"/>
      <c r="D78" s="1"/>
      <c r="E78" s="39"/>
      <c r="F78" s="2"/>
    </row>
    <row r="79" spans="1:14" ht="15.6" x14ac:dyDescent="0.3">
      <c r="B79" s="2"/>
      <c r="D79" s="1"/>
      <c r="E79" s="2"/>
      <c r="F79" s="2"/>
      <c r="G79"/>
      <c r="H79"/>
    </row>
    <row r="80" spans="1:14" ht="15.6" x14ac:dyDescent="0.3">
      <c r="B80" s="34"/>
      <c r="D80" s="1"/>
      <c r="E80" s="2"/>
      <c r="F80" s="2"/>
    </row>
    <row r="81" spans="2:8" ht="15.6" x14ac:dyDescent="0.3">
      <c r="B81" s="37"/>
      <c r="D81" s="1"/>
      <c r="E81" s="2"/>
      <c r="F81" s="2"/>
      <c r="G81"/>
      <c r="H81"/>
    </row>
    <row r="82" spans="2:8" ht="15.6" x14ac:dyDescent="0.3">
      <c r="B82" s="2"/>
      <c r="D82" s="1"/>
      <c r="E82" s="2"/>
      <c r="F82" s="2"/>
      <c r="G82"/>
      <c r="H82"/>
    </row>
    <row r="83" spans="2:8" ht="15.6" x14ac:dyDescent="0.3">
      <c r="B83" s="34"/>
      <c r="D83" s="1"/>
      <c r="E83" s="2"/>
      <c r="F83" s="2"/>
      <c r="G83"/>
      <c r="H83"/>
    </row>
    <row r="84" spans="2:8" ht="15.6" x14ac:dyDescent="0.3">
      <c r="B84" s="35"/>
      <c r="D84" s="1"/>
      <c r="E84" s="2"/>
      <c r="F84" s="2"/>
      <c r="G84"/>
      <c r="H84"/>
    </row>
    <row r="85" spans="2:8" ht="15.6" x14ac:dyDescent="0.3">
      <c r="B85" s="37"/>
      <c r="D85" s="1"/>
      <c r="E85" s="39"/>
      <c r="F85" s="2"/>
    </row>
    <row r="86" spans="2:8" ht="15.6" x14ac:dyDescent="0.3">
      <c r="B86" s="2"/>
      <c r="D86" s="1"/>
      <c r="E86" s="2"/>
      <c r="F86" s="2"/>
      <c r="G86"/>
      <c r="H86"/>
    </row>
    <row r="87" spans="2:8" ht="15.6" x14ac:dyDescent="0.3">
      <c r="B87" s="2"/>
      <c r="D87" s="1"/>
      <c r="E87" s="2"/>
      <c r="F87" s="2"/>
      <c r="G87"/>
      <c r="H87"/>
    </row>
    <row r="88" spans="2:8" ht="15.6" x14ac:dyDescent="0.3">
      <c r="B88" s="34"/>
      <c r="D88" s="1"/>
      <c r="E88" s="2"/>
      <c r="F88" s="2"/>
      <c r="G88"/>
      <c r="H88"/>
    </row>
    <row r="89" spans="2:8" ht="15.6" x14ac:dyDescent="0.3">
      <c r="B89" s="37"/>
      <c r="D89" s="1"/>
      <c r="E89" s="2"/>
      <c r="F89" s="2"/>
      <c r="G89"/>
      <c r="H89"/>
    </row>
    <row r="90" spans="2:8" ht="15.6" x14ac:dyDescent="0.3">
      <c r="B90" s="2"/>
      <c r="D90" s="1"/>
      <c r="E90" s="2"/>
      <c r="F90" s="2"/>
      <c r="G90"/>
      <c r="H90"/>
    </row>
    <row r="91" spans="2:8" ht="15.6" x14ac:dyDescent="0.3">
      <c r="B91" s="38"/>
      <c r="D91" s="1"/>
      <c r="E91" s="2"/>
      <c r="F91" s="2"/>
      <c r="G91"/>
      <c r="H91"/>
    </row>
    <row r="92" spans="2:8" ht="15.6" x14ac:dyDescent="0.3">
      <c r="B92" s="2"/>
      <c r="D92" s="1"/>
      <c r="E92" s="2"/>
      <c r="F92" s="2"/>
      <c r="G92"/>
      <c r="H92"/>
    </row>
    <row r="93" spans="2:8" ht="15.6" x14ac:dyDescent="0.3">
      <c r="B93" s="34"/>
      <c r="D93" s="3"/>
      <c r="E93" s="2"/>
      <c r="F93" s="2"/>
    </row>
    <row r="94" spans="2:8" ht="15.6" x14ac:dyDescent="0.3">
      <c r="B94" s="35"/>
      <c r="D94" s="1"/>
      <c r="E94" s="2"/>
      <c r="F94" s="2"/>
      <c r="G94"/>
      <c r="H94"/>
    </row>
    <row r="95" spans="2:8" ht="15.6" x14ac:dyDescent="0.3">
      <c r="B95" s="37"/>
      <c r="D95" s="1"/>
      <c r="E95" s="2"/>
      <c r="F95" s="2"/>
      <c r="G95"/>
      <c r="H95"/>
    </row>
    <row r="96" spans="2:8" ht="15.6" x14ac:dyDescent="0.3">
      <c r="B96" s="2"/>
      <c r="D96" s="1"/>
      <c r="E96" s="2"/>
      <c r="F96" s="2"/>
      <c r="G96"/>
      <c r="H96"/>
    </row>
    <row r="97" spans="2:8" ht="15.6" x14ac:dyDescent="0.3">
      <c r="B97" s="34"/>
      <c r="D97" s="1"/>
      <c r="E97" s="2"/>
      <c r="F97" s="2"/>
      <c r="G97"/>
      <c r="H97"/>
    </row>
    <row r="98" spans="2:8" ht="15.6" x14ac:dyDescent="0.3">
      <c r="B98" s="37"/>
      <c r="D98" s="1"/>
      <c r="E98" s="39"/>
      <c r="F98" s="2"/>
    </row>
    <row r="99" spans="2:8" ht="15.6" x14ac:dyDescent="0.3">
      <c r="B99" s="2"/>
      <c r="D99" s="3"/>
      <c r="E99" s="2"/>
      <c r="F99" s="2"/>
    </row>
    <row r="100" spans="2:8" ht="15.6" x14ac:dyDescent="0.3">
      <c r="B100" s="2"/>
      <c r="D100" s="1"/>
      <c r="E100" s="2"/>
      <c r="F100" s="2"/>
      <c r="G100"/>
      <c r="H100"/>
    </row>
    <row r="101" spans="2:8" ht="15.6" x14ac:dyDescent="0.3">
      <c r="B101" s="38"/>
      <c r="D101" s="1"/>
      <c r="E101" s="39"/>
      <c r="F101" s="2"/>
    </row>
    <row r="102" spans="2:8" ht="15.6" x14ac:dyDescent="0.3">
      <c r="B102" s="2"/>
      <c r="D102" s="1"/>
      <c r="E102" s="39"/>
      <c r="F102" s="2"/>
    </row>
    <row r="103" spans="2:8" ht="15.6" x14ac:dyDescent="0.3">
      <c r="B103" s="38"/>
      <c r="D103" s="36"/>
      <c r="E103" s="2"/>
      <c r="F103" s="2"/>
      <c r="G103"/>
      <c r="H103"/>
    </row>
    <row r="104" spans="2:8" ht="15.6" x14ac:dyDescent="0.3">
      <c r="B104" s="2"/>
      <c r="D104" s="1"/>
      <c r="E104" s="2"/>
      <c r="F104" s="2"/>
      <c r="G104"/>
      <c r="H104"/>
    </row>
    <row r="105" spans="2:8" ht="15.6" x14ac:dyDescent="0.3">
      <c r="B105" s="2"/>
      <c r="D105" s="1"/>
      <c r="E105" s="2"/>
      <c r="F105" s="2"/>
      <c r="G105"/>
      <c r="H105"/>
    </row>
    <row r="106" spans="2:8" ht="15.6" x14ac:dyDescent="0.3">
      <c r="B106" s="34"/>
      <c r="D106" s="1"/>
      <c r="E106" s="2"/>
      <c r="F106" s="2"/>
      <c r="G106"/>
      <c r="H106"/>
    </row>
    <row r="107" spans="2:8" ht="15.6" x14ac:dyDescent="0.3">
      <c r="B107" s="35"/>
      <c r="D107" s="1"/>
      <c r="E107" s="2"/>
      <c r="F107" s="2"/>
      <c r="G107"/>
      <c r="H107"/>
    </row>
    <row r="108" spans="2:8" ht="15.6" x14ac:dyDescent="0.3">
      <c r="B108" s="37"/>
      <c r="D108" s="1"/>
      <c r="E108" s="2"/>
      <c r="F108" s="2"/>
      <c r="G108"/>
      <c r="H108"/>
    </row>
    <row r="109" spans="2:8" ht="15.6" x14ac:dyDescent="0.3">
      <c r="B109" s="2"/>
      <c r="D109" s="1"/>
      <c r="E109" s="2"/>
      <c r="F109" s="2"/>
      <c r="G109"/>
      <c r="H109"/>
    </row>
    <row r="110" spans="2:8" ht="15.6" x14ac:dyDescent="0.3">
      <c r="B110" s="38"/>
      <c r="D110" s="3"/>
      <c r="E110" s="2"/>
      <c r="F110" s="2"/>
      <c r="G110"/>
      <c r="H110"/>
    </row>
    <row r="111" spans="2:8" ht="15.6" x14ac:dyDescent="0.3">
      <c r="B111" s="2"/>
      <c r="D111" s="1"/>
      <c r="E111" s="2"/>
      <c r="F111" s="2"/>
      <c r="G111"/>
      <c r="H111"/>
    </row>
    <row r="112" spans="2:8" ht="15.6" x14ac:dyDescent="0.3">
      <c r="B112" s="34"/>
      <c r="D112" s="1"/>
      <c r="E112" s="2"/>
      <c r="F112" s="2"/>
      <c r="G112"/>
      <c r="H112"/>
    </row>
    <row r="113" spans="2:8" ht="15.6" x14ac:dyDescent="0.3">
      <c r="B113" s="35"/>
      <c r="D113" s="3"/>
      <c r="E113" s="2"/>
      <c r="F113" s="2"/>
      <c r="G113"/>
      <c r="H113"/>
    </row>
    <row r="114" spans="2:8" ht="15.6" x14ac:dyDescent="0.3">
      <c r="B114" s="35"/>
      <c r="D114" s="4"/>
      <c r="E114" s="39"/>
      <c r="F114" s="2"/>
    </row>
    <row r="115" spans="2:8" ht="15.6" x14ac:dyDescent="0.3">
      <c r="B115" s="35"/>
      <c r="D115" s="1"/>
      <c r="E115" s="2"/>
      <c r="F115" s="2"/>
    </row>
    <row r="116" spans="2:8" ht="15.6" x14ac:dyDescent="0.3">
      <c r="B116" s="37"/>
      <c r="D116" s="3"/>
      <c r="E116" s="2"/>
      <c r="F116" s="2"/>
    </row>
    <row r="117" spans="2:8" ht="15.6" x14ac:dyDescent="0.3">
      <c r="B117" s="2"/>
      <c r="D117" s="1"/>
      <c r="E117" s="2"/>
      <c r="F117" s="2"/>
      <c r="G117"/>
      <c r="H117"/>
    </row>
    <row r="118" spans="2:8" ht="15.6" x14ac:dyDescent="0.3">
      <c r="B118" s="2"/>
      <c r="D118" s="1"/>
      <c r="E118" s="2"/>
      <c r="F118" s="2"/>
      <c r="G118"/>
      <c r="H118"/>
    </row>
    <row r="119" spans="2:8" ht="15.6" x14ac:dyDescent="0.3">
      <c r="B119" s="2"/>
      <c r="D119" s="1"/>
      <c r="E119" s="2"/>
      <c r="F119" s="2"/>
    </row>
    <row r="120" spans="2:8" ht="15.6" x14ac:dyDescent="0.3">
      <c r="B120" s="34"/>
      <c r="D120" s="1"/>
      <c r="E120" s="2"/>
      <c r="F120" s="2"/>
      <c r="G120"/>
      <c r="H120"/>
    </row>
    <row r="121" spans="2:8" ht="15.6" x14ac:dyDescent="0.3">
      <c r="B121" s="35"/>
      <c r="D121" s="36"/>
      <c r="E121" s="2"/>
      <c r="F121" s="2"/>
      <c r="G121"/>
      <c r="H121"/>
    </row>
    <row r="122" spans="2:8" ht="15.6" x14ac:dyDescent="0.3">
      <c r="B122" s="37"/>
      <c r="D122" s="1"/>
      <c r="E122" s="39"/>
      <c r="F122" s="2"/>
    </row>
    <row r="123" spans="2:8" ht="15.6" x14ac:dyDescent="0.3">
      <c r="B123" s="2"/>
      <c r="D123" s="1"/>
      <c r="E123" s="2"/>
      <c r="F123" s="2"/>
    </row>
    <row r="124" spans="2:8" ht="15.6" x14ac:dyDescent="0.3">
      <c r="B124" s="34"/>
      <c r="D124" s="1"/>
      <c r="E124" s="2"/>
      <c r="F124" s="2"/>
      <c r="G124"/>
      <c r="H124"/>
    </row>
    <row r="125" spans="2:8" ht="15.6" x14ac:dyDescent="0.3">
      <c r="B125" s="35"/>
      <c r="D125" s="1"/>
      <c r="E125" s="2"/>
      <c r="F125" s="2"/>
    </row>
    <row r="126" spans="2:8" ht="15.6" x14ac:dyDescent="0.3">
      <c r="B126" s="37"/>
      <c r="D126" s="1"/>
      <c r="E126" s="2"/>
      <c r="F126" s="2"/>
      <c r="G126"/>
      <c r="H126"/>
    </row>
    <row r="127" spans="2:8" ht="15.6" x14ac:dyDescent="0.3">
      <c r="B127" s="2"/>
      <c r="D127" s="1"/>
      <c r="E127" s="2"/>
      <c r="F127" s="2"/>
      <c r="G127"/>
      <c r="H127"/>
    </row>
    <row r="128" spans="2:8" ht="15.6" x14ac:dyDescent="0.3">
      <c r="B128" s="2"/>
      <c r="D128" s="1"/>
      <c r="E128" s="2"/>
      <c r="F128" s="2"/>
    </row>
    <row r="129" spans="2:8" ht="15.6" x14ac:dyDescent="0.3">
      <c r="B129" s="34"/>
      <c r="D129" s="1"/>
      <c r="E129" s="2"/>
      <c r="F129" s="2"/>
      <c r="G129"/>
      <c r="H129"/>
    </row>
    <row r="130" spans="2:8" ht="15.6" x14ac:dyDescent="0.3">
      <c r="B130" s="35"/>
      <c r="D130" s="3"/>
      <c r="E130" s="2"/>
      <c r="F130" s="2"/>
      <c r="G130"/>
      <c r="H130"/>
    </row>
    <row r="131" spans="2:8" ht="15.6" x14ac:dyDescent="0.3">
      <c r="B131" s="35"/>
      <c r="D131" s="1"/>
      <c r="E131" s="2"/>
      <c r="F131" s="2"/>
      <c r="G131"/>
      <c r="H131"/>
    </row>
    <row r="132" spans="2:8" ht="15.6" x14ac:dyDescent="0.3">
      <c r="B132" s="35"/>
      <c r="D132" s="1"/>
      <c r="E132" s="2"/>
      <c r="F132" s="2"/>
      <c r="G132"/>
      <c r="H132"/>
    </row>
    <row r="133" spans="2:8" ht="15.6" x14ac:dyDescent="0.3">
      <c r="B133" s="35"/>
      <c r="D133" s="1"/>
      <c r="E133" s="39"/>
      <c r="F133" s="2"/>
    </row>
    <row r="134" spans="2:8" ht="15.6" x14ac:dyDescent="0.3">
      <c r="B134" s="37"/>
      <c r="D134" s="36"/>
      <c r="E134" s="2"/>
      <c r="F134" s="2"/>
      <c r="G134"/>
      <c r="H134"/>
    </row>
    <row r="135" spans="2:8" ht="15.6" x14ac:dyDescent="0.3">
      <c r="B135" s="2"/>
      <c r="D135" s="1"/>
      <c r="E135" s="2"/>
      <c r="F135" s="2"/>
      <c r="G135"/>
      <c r="H135"/>
    </row>
    <row r="136" spans="2:8" ht="15.6" x14ac:dyDescent="0.3">
      <c r="B136" s="2"/>
      <c r="D136" s="4"/>
      <c r="E136" s="5"/>
      <c r="F136" s="5"/>
    </row>
    <row r="137" spans="2:8" ht="15.6" x14ac:dyDescent="0.3">
      <c r="B137" s="34"/>
      <c r="D137" s="1"/>
      <c r="E137" s="2"/>
      <c r="F137" s="2"/>
      <c r="G137"/>
      <c r="H137"/>
    </row>
    <row r="138" spans="2:8" ht="15.6" x14ac:dyDescent="0.3">
      <c r="B138" s="37"/>
      <c r="D138" s="1"/>
      <c r="E138" s="39"/>
      <c r="F138" s="2"/>
    </row>
    <row r="139" spans="2:8" ht="15.6" x14ac:dyDescent="0.3">
      <c r="B139" s="2"/>
      <c r="D139" s="1"/>
      <c r="E139" s="2"/>
      <c r="F139" s="2"/>
      <c r="G139"/>
      <c r="H139"/>
    </row>
    <row r="140" spans="2:8" ht="15.6" x14ac:dyDescent="0.3">
      <c r="B140" s="2"/>
      <c r="D140" s="1"/>
      <c r="E140" s="2"/>
      <c r="F140" s="2"/>
      <c r="G140"/>
      <c r="H140"/>
    </row>
    <row r="141" spans="2:8" ht="15.6" x14ac:dyDescent="0.3">
      <c r="B141" s="34"/>
      <c r="D141" s="36"/>
      <c r="E141" s="2"/>
      <c r="F141" s="2"/>
      <c r="G141"/>
      <c r="H141"/>
    </row>
    <row r="142" spans="2:8" ht="15.6" x14ac:dyDescent="0.3">
      <c r="B142" s="37"/>
      <c r="D142" s="1"/>
      <c r="E142" s="2"/>
      <c r="F142" s="2"/>
    </row>
    <row r="143" spans="2:8" ht="15.6" x14ac:dyDescent="0.3">
      <c r="B143" s="2"/>
      <c r="D143" s="1"/>
      <c r="E143" s="2"/>
      <c r="F143" s="2"/>
      <c r="G143"/>
      <c r="H143"/>
    </row>
    <row r="144" spans="2:8" ht="15.6" x14ac:dyDescent="0.3">
      <c r="B144" s="34"/>
      <c r="D144" s="1"/>
      <c r="E144" s="2"/>
      <c r="F144" s="2"/>
      <c r="G144"/>
      <c r="H144"/>
    </row>
    <row r="145" spans="2:8" ht="15.6" x14ac:dyDescent="0.3">
      <c r="B145" s="37"/>
      <c r="D145" s="1"/>
      <c r="E145" s="2"/>
      <c r="F145" s="2"/>
      <c r="G145"/>
      <c r="H145"/>
    </row>
    <row r="146" spans="2:8" ht="15.6" x14ac:dyDescent="0.3">
      <c r="B146" s="2"/>
      <c r="D146" s="1"/>
      <c r="E146" s="2"/>
      <c r="F146" s="2"/>
    </row>
    <row r="147" spans="2:8" ht="15.6" x14ac:dyDescent="0.3">
      <c r="B147" s="34"/>
      <c r="D147" s="1"/>
      <c r="E147" s="2"/>
      <c r="F147" s="2"/>
    </row>
    <row r="148" spans="2:8" ht="15.6" x14ac:dyDescent="0.3">
      <c r="B148" s="35"/>
      <c r="D148" s="1"/>
      <c r="E148" s="2"/>
      <c r="F148" s="2"/>
    </row>
    <row r="149" spans="2:8" ht="15.6" x14ac:dyDescent="0.3">
      <c r="B149" s="35"/>
      <c r="D149" s="1"/>
      <c r="E149" s="2"/>
      <c r="F149" s="2"/>
    </row>
    <row r="150" spans="2:8" ht="15.6" x14ac:dyDescent="0.3">
      <c r="B150" s="35"/>
      <c r="D150" s="1"/>
      <c r="E150" s="2"/>
      <c r="F150" s="2"/>
      <c r="G150"/>
      <c r="H150"/>
    </row>
    <row r="151" spans="2:8" ht="15.6" x14ac:dyDescent="0.3">
      <c r="B151" s="35"/>
      <c r="D151" s="1"/>
      <c r="E151" s="2"/>
      <c r="F151" s="2"/>
      <c r="G151"/>
      <c r="H151"/>
    </row>
    <row r="152" spans="2:8" ht="15.6" x14ac:dyDescent="0.3">
      <c r="B152" s="37"/>
      <c r="D152" s="1"/>
      <c r="E152" s="2"/>
      <c r="F152" s="2"/>
      <c r="G152"/>
      <c r="H152"/>
    </row>
    <row r="153" spans="2:8" ht="15.6" x14ac:dyDescent="0.3">
      <c r="B153" s="2"/>
      <c r="D153" s="1"/>
      <c r="E153" s="2"/>
      <c r="F153" s="2"/>
      <c r="G153"/>
      <c r="H153"/>
    </row>
    <row r="154" spans="2:8" ht="15.6" x14ac:dyDescent="0.3">
      <c r="B154" s="34"/>
      <c r="D154" s="1"/>
      <c r="E154" s="2"/>
      <c r="F154" s="2"/>
    </row>
    <row r="155" spans="2:8" ht="15.6" x14ac:dyDescent="0.3">
      <c r="B155" s="37"/>
      <c r="D155" s="4"/>
      <c r="E155" s="39"/>
      <c r="F155" s="2"/>
    </row>
    <row r="156" spans="2:8" ht="15.6" x14ac:dyDescent="0.3">
      <c r="B156" s="2"/>
      <c r="D156" s="1"/>
      <c r="E156" s="39"/>
      <c r="F156" s="2"/>
    </row>
    <row r="157" spans="2:8" ht="15.6" x14ac:dyDescent="0.3">
      <c r="B157" s="38"/>
      <c r="D157" s="1"/>
      <c r="E157" s="2"/>
      <c r="F157" s="2"/>
      <c r="G157"/>
      <c r="H157"/>
    </row>
    <row r="158" spans="2:8" ht="15.6" x14ac:dyDescent="0.3">
      <c r="B158" s="2"/>
      <c r="D158" s="1"/>
      <c r="E158" s="2"/>
      <c r="F158" s="2"/>
      <c r="G158"/>
      <c r="H158"/>
    </row>
    <row r="159" spans="2:8" ht="15.6" x14ac:dyDescent="0.3">
      <c r="B159" s="34"/>
      <c r="D159" s="1"/>
      <c r="E159" s="2"/>
      <c r="F159" s="2"/>
      <c r="G159"/>
      <c r="H159"/>
    </row>
    <row r="160" spans="2:8" ht="15.6" x14ac:dyDescent="0.3">
      <c r="B160" s="35"/>
      <c r="D160" s="1"/>
      <c r="E160" s="2"/>
      <c r="F160" s="2"/>
      <c r="G160"/>
      <c r="H160"/>
    </row>
    <row r="161" spans="2:8" ht="15.6" x14ac:dyDescent="0.3">
      <c r="B161" s="37"/>
      <c r="D161" s="1"/>
      <c r="E161" s="2"/>
      <c r="F161" s="2"/>
      <c r="G161"/>
      <c r="H161"/>
    </row>
    <row r="162" spans="2:8" ht="15.6" x14ac:dyDescent="0.3">
      <c r="B162" s="2"/>
      <c r="D162" s="1"/>
      <c r="E162" s="2"/>
      <c r="F162" s="2"/>
      <c r="G162"/>
      <c r="H162"/>
    </row>
    <row r="163" spans="2:8" ht="15.6" x14ac:dyDescent="0.3">
      <c r="B163" s="34"/>
      <c r="D163" s="1"/>
      <c r="E163" s="2"/>
      <c r="F163" s="2"/>
    </row>
    <row r="164" spans="2:8" ht="15.6" x14ac:dyDescent="0.3">
      <c r="B164" s="35"/>
      <c r="D164" s="1"/>
      <c r="E164" s="2"/>
      <c r="F164" s="2"/>
    </row>
    <row r="165" spans="2:8" ht="15.6" x14ac:dyDescent="0.3">
      <c r="B165" s="35"/>
      <c r="D165" s="1"/>
      <c r="E165" s="2"/>
      <c r="F165" s="2"/>
      <c r="G165"/>
      <c r="H165"/>
    </row>
    <row r="166" spans="2:8" ht="15.6" x14ac:dyDescent="0.3">
      <c r="B166" s="35"/>
      <c r="D166" s="1"/>
      <c r="E166" s="2"/>
      <c r="F166" s="2"/>
    </row>
    <row r="167" spans="2:8" ht="15.6" x14ac:dyDescent="0.3">
      <c r="B167" s="37"/>
      <c r="D167" s="1"/>
      <c r="E167" s="2"/>
      <c r="F167" s="2"/>
    </row>
    <row r="168" spans="2:8" ht="15.6" x14ac:dyDescent="0.3">
      <c r="B168" s="2"/>
      <c r="D168" s="1"/>
      <c r="E168" s="2"/>
      <c r="F168" s="2"/>
    </row>
    <row r="169" spans="2:8" ht="15.6" x14ac:dyDescent="0.3">
      <c r="B169" s="2"/>
      <c r="D169" s="1"/>
      <c r="E169" s="2"/>
      <c r="F169" s="2"/>
      <c r="G169"/>
      <c r="H169"/>
    </row>
    <row r="170" spans="2:8" ht="15.6" x14ac:dyDescent="0.3">
      <c r="B170" s="34"/>
      <c r="D170" s="1"/>
      <c r="E170" s="2"/>
      <c r="F170" s="2"/>
      <c r="G170"/>
      <c r="H170"/>
    </row>
    <row r="171" spans="2:8" ht="15.6" x14ac:dyDescent="0.3">
      <c r="B171" s="35"/>
      <c r="D171" s="36"/>
      <c r="E171" s="2"/>
      <c r="F171" s="2"/>
      <c r="G171"/>
      <c r="H171"/>
    </row>
    <row r="172" spans="2:8" ht="15.6" x14ac:dyDescent="0.3">
      <c r="B172" s="37"/>
      <c r="D172" s="1"/>
      <c r="E172" s="2"/>
      <c r="F172" s="2"/>
    </row>
    <row r="173" spans="2:8" ht="15.6" x14ac:dyDescent="0.3">
      <c r="B173" s="2"/>
      <c r="D173" s="1"/>
      <c r="E173" s="2"/>
      <c r="F173" s="2"/>
      <c r="G173"/>
      <c r="H173"/>
    </row>
    <row r="174" spans="2:8" ht="15.6" x14ac:dyDescent="0.3">
      <c r="B174" s="34"/>
      <c r="D174" s="1"/>
      <c r="E174" s="2"/>
      <c r="F174" s="2"/>
      <c r="G174"/>
      <c r="H174"/>
    </row>
    <row r="175" spans="2:8" ht="15.6" x14ac:dyDescent="0.3">
      <c r="B175" s="35"/>
      <c r="D175" s="1"/>
      <c r="E175" s="2"/>
      <c r="F175" s="2"/>
      <c r="G175"/>
      <c r="H175"/>
    </row>
    <row r="176" spans="2:8" ht="15.6" x14ac:dyDescent="0.3">
      <c r="B176" s="37"/>
      <c r="D176" s="3"/>
      <c r="E176" s="39"/>
      <c r="F176" s="2"/>
      <c r="G176"/>
      <c r="H176"/>
    </row>
    <row r="177" spans="2:8" ht="15.6" x14ac:dyDescent="0.3">
      <c r="B177" s="2"/>
      <c r="D177" s="1"/>
      <c r="E177" s="39"/>
      <c r="F177" s="2"/>
    </row>
    <row r="178" spans="2:8" ht="15.6" x14ac:dyDescent="0.3">
      <c r="B178" s="34"/>
      <c r="D178" s="1"/>
      <c r="E178" s="2"/>
      <c r="F178" s="2"/>
      <c r="G178"/>
      <c r="H178"/>
    </row>
    <row r="179" spans="2:8" ht="15.6" x14ac:dyDescent="0.3">
      <c r="B179" s="35"/>
      <c r="D179" s="1"/>
      <c r="E179" s="2"/>
      <c r="F179" s="2"/>
      <c r="G179"/>
      <c r="H179"/>
    </row>
    <row r="180" spans="2:8" ht="15.6" x14ac:dyDescent="0.3">
      <c r="B180" s="35"/>
      <c r="D180" s="1"/>
      <c r="E180" s="2"/>
      <c r="F180" s="2"/>
      <c r="G180"/>
      <c r="H180"/>
    </row>
    <row r="181" spans="2:8" ht="15.6" x14ac:dyDescent="0.3">
      <c r="B181" s="35"/>
      <c r="D181" s="1"/>
      <c r="E181" s="2"/>
      <c r="F181" s="2"/>
    </row>
    <row r="182" spans="2:8" ht="15.6" x14ac:dyDescent="0.3">
      <c r="B182" s="35"/>
      <c r="D182" s="1"/>
      <c r="E182" s="2"/>
      <c r="F182" s="2"/>
      <c r="G182"/>
      <c r="H182"/>
    </row>
    <row r="183" spans="2:8" ht="15.6" x14ac:dyDescent="0.3">
      <c r="B183" s="35"/>
      <c r="D183" s="1"/>
      <c r="E183" s="2"/>
      <c r="F183" s="2"/>
      <c r="G183"/>
      <c r="H183"/>
    </row>
    <row r="184" spans="2:8" ht="15.6" x14ac:dyDescent="0.3">
      <c r="B184" s="35"/>
      <c r="D184" s="1"/>
      <c r="E184" s="39"/>
      <c r="F184" s="2"/>
    </row>
    <row r="185" spans="2:8" ht="15.6" x14ac:dyDescent="0.3">
      <c r="B185" s="35"/>
      <c r="D185" s="1"/>
      <c r="E185" s="2"/>
      <c r="F185" s="2"/>
    </row>
    <row r="186" spans="2:8" ht="15.6" x14ac:dyDescent="0.3">
      <c r="B186" s="37"/>
      <c r="D186" s="36"/>
      <c r="E186" s="2"/>
      <c r="F186" s="2"/>
      <c r="G186"/>
      <c r="H186"/>
    </row>
    <row r="187" spans="2:8" ht="15.6" x14ac:dyDescent="0.3">
      <c r="B187" s="2"/>
      <c r="D187" s="3"/>
      <c r="E187" s="2"/>
      <c r="F187" s="2"/>
      <c r="G187"/>
      <c r="H187"/>
    </row>
    <row r="188" spans="2:8" ht="15.6" x14ac:dyDescent="0.3">
      <c r="B188" s="38"/>
      <c r="D188" s="1"/>
      <c r="E188" s="2"/>
      <c r="F188" s="2"/>
      <c r="G188"/>
      <c r="H188"/>
    </row>
    <row r="189" spans="2:8" ht="15.6" x14ac:dyDescent="0.3">
      <c r="B189" s="2"/>
      <c r="D189" s="1"/>
      <c r="E189" s="2"/>
      <c r="F189" s="2"/>
      <c r="G189"/>
      <c r="H189"/>
    </row>
    <row r="190" spans="2:8" ht="15.6" x14ac:dyDescent="0.3">
      <c r="B190" s="34"/>
      <c r="D190" s="36"/>
      <c r="E190" s="2"/>
      <c r="F190" s="2"/>
      <c r="G190"/>
      <c r="H190"/>
    </row>
    <row r="191" spans="2:8" ht="15.6" x14ac:dyDescent="0.3">
      <c r="B191" s="35"/>
      <c r="D191" s="1"/>
      <c r="E191" s="39"/>
      <c r="F191" s="2"/>
    </row>
    <row r="192" spans="2:8" ht="15.6" x14ac:dyDescent="0.3">
      <c r="B192" s="35"/>
      <c r="D192" s="1"/>
      <c r="E192" s="2"/>
      <c r="F192" s="2"/>
    </row>
    <row r="193" spans="2:8" ht="15.6" x14ac:dyDescent="0.3">
      <c r="B193" s="35"/>
      <c r="D193" s="1"/>
      <c r="E193" s="2"/>
      <c r="F193" s="2"/>
      <c r="G193"/>
      <c r="H193"/>
    </row>
    <row r="194" spans="2:8" ht="15.6" x14ac:dyDescent="0.3">
      <c r="B194" s="35"/>
      <c r="D194" s="1"/>
      <c r="E194" s="2"/>
      <c r="F194" s="2"/>
      <c r="G194"/>
      <c r="H194"/>
    </row>
    <row r="195" spans="2:8" ht="15.6" x14ac:dyDescent="0.3">
      <c r="B195" s="37"/>
      <c r="D195" s="1"/>
      <c r="E195" s="2"/>
      <c r="F195" s="2"/>
      <c r="G195"/>
      <c r="H195"/>
    </row>
    <row r="196" spans="2:8" ht="15.6" x14ac:dyDescent="0.3">
      <c r="B196" s="2"/>
      <c r="D196" s="1"/>
      <c r="E196" s="2"/>
      <c r="F196" s="2"/>
      <c r="G196"/>
      <c r="H196"/>
    </row>
    <row r="197" spans="2:8" ht="15.6" x14ac:dyDescent="0.3">
      <c r="B197" s="34"/>
      <c r="D197" s="1"/>
      <c r="E197" s="39"/>
      <c r="F197" s="2"/>
    </row>
    <row r="198" spans="2:8" ht="15.6" x14ac:dyDescent="0.3">
      <c r="B198" s="37"/>
      <c r="D198" s="1"/>
      <c r="E198" s="39"/>
      <c r="F198" s="2"/>
    </row>
    <row r="199" spans="2:8" ht="15.6" x14ac:dyDescent="0.3">
      <c r="B199" s="2"/>
      <c r="D199" s="1"/>
      <c r="E199" s="39"/>
      <c r="F199" s="2"/>
    </row>
    <row r="200" spans="2:8" ht="15.6" x14ac:dyDescent="0.3">
      <c r="B200" s="2"/>
      <c r="D200" s="1"/>
      <c r="E200" s="39"/>
      <c r="F200" s="2"/>
      <c r="G200"/>
      <c r="H200"/>
    </row>
    <row r="201" spans="2:8" ht="15.6" x14ac:dyDescent="0.3">
      <c r="B201" s="2"/>
      <c r="D201" s="1"/>
      <c r="E201" s="2"/>
      <c r="F201" s="2"/>
      <c r="G201"/>
      <c r="H201"/>
    </row>
    <row r="202" spans="2:8" ht="15.6" x14ac:dyDescent="0.3">
      <c r="B202" s="2"/>
      <c r="D202" s="1"/>
      <c r="E202" s="39"/>
      <c r="F202" s="2"/>
    </row>
    <row r="203" spans="2:8" ht="15.6" x14ac:dyDescent="0.3">
      <c r="F203" s="2"/>
    </row>
  </sheetData>
  <autoFilter ref="K1:K203" xr:uid="{CE4E317E-5622-4C9E-8C75-00AC8B04EB67}"/>
  <mergeCells count="4">
    <mergeCell ref="F61:G61"/>
    <mergeCell ref="F55:G55"/>
    <mergeCell ref="A1:J1"/>
    <mergeCell ref="A29:J29"/>
  </mergeCells>
  <phoneticPr fontId="10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26326-ABA7-4D16-97E1-A5DD896ED14D}">
  <sheetPr codeName="Hoja2"/>
  <dimension ref="A1:I199"/>
  <sheetViews>
    <sheetView tabSelected="1" zoomScale="142" workbookViewId="0">
      <selection activeCell="H43" sqref="H43"/>
    </sheetView>
  </sheetViews>
  <sheetFormatPr baseColWidth="10" defaultColWidth="11.44140625" defaultRowHeight="14.4" outlineLevelCol="1" x14ac:dyDescent="0.3"/>
  <cols>
    <col min="1" max="1" width="7.44140625" bestFit="1" customWidth="1"/>
    <col min="2" max="2" width="22.109375" bestFit="1" customWidth="1"/>
    <col min="3" max="3" width="19.109375" bestFit="1" customWidth="1"/>
    <col min="4" max="4" width="18.6640625" bestFit="1" customWidth="1"/>
    <col min="5" max="5" width="16.44140625" bestFit="1" customWidth="1"/>
    <col min="6" max="6" width="16.21875" style="9" bestFit="1" customWidth="1" outlineLevel="1"/>
    <col min="7" max="7" width="5.77734375" bestFit="1" customWidth="1" outlineLevel="1"/>
    <col min="8" max="8" width="13" bestFit="1" customWidth="1" outlineLevel="1"/>
    <col min="9" max="9" width="6.88671875" style="9" bestFit="1" customWidth="1"/>
    <col min="10" max="10" width="5.109375" bestFit="1" customWidth="1"/>
    <col min="11" max="11" width="8.5546875" bestFit="1" customWidth="1"/>
    <col min="12" max="12" width="6.6640625" bestFit="1" customWidth="1"/>
    <col min="13" max="13" width="6.88671875" bestFit="1" customWidth="1"/>
    <col min="14" max="14" width="9.21875" bestFit="1" customWidth="1"/>
    <col min="15" max="15" width="10.21875" bestFit="1" customWidth="1"/>
    <col min="16" max="16" width="8.109375" bestFit="1" customWidth="1"/>
    <col min="17" max="17" width="16.6640625" bestFit="1" customWidth="1"/>
    <col min="18" max="18" width="14.5546875" bestFit="1" customWidth="1"/>
    <col min="19" max="19" width="14.44140625" bestFit="1" customWidth="1"/>
  </cols>
  <sheetData>
    <row r="1" spans="1:9" ht="15.6" x14ac:dyDescent="0.3">
      <c r="A1" s="102"/>
      <c r="B1" s="73"/>
      <c r="E1" s="1"/>
      <c r="F1" s="82"/>
      <c r="G1" s="40"/>
      <c r="H1" s="6"/>
      <c r="I1" s="6"/>
    </row>
    <row r="2" spans="1:9" ht="15.6" x14ac:dyDescent="0.3">
      <c r="A2" s="103"/>
      <c r="B2" s="73"/>
      <c r="C2" s="1" t="s">
        <v>486</v>
      </c>
      <c r="D2" s="72">
        <v>46297</v>
      </c>
      <c r="E2" s="1"/>
      <c r="F2" s="82"/>
      <c r="G2" s="40"/>
    </row>
    <row r="3" spans="1:9" ht="15.6" x14ac:dyDescent="0.3">
      <c r="A3" s="83"/>
      <c r="B3" s="73"/>
      <c r="C3" s="1"/>
      <c r="D3" s="76"/>
      <c r="E3" s="1"/>
      <c r="F3" s="81"/>
      <c r="G3" s="40"/>
    </row>
    <row r="4" spans="1:9" ht="15.6" x14ac:dyDescent="0.3">
      <c r="A4" s="107"/>
      <c r="B4" s="73"/>
      <c r="C4" s="1"/>
      <c r="D4" s="76"/>
      <c r="E4" s="1"/>
      <c r="F4" s="81"/>
      <c r="G4" s="40"/>
    </row>
    <row r="5" spans="1:9" ht="15.6" x14ac:dyDescent="0.3">
      <c r="A5" s="102"/>
      <c r="B5" s="73"/>
      <c r="C5" s="1"/>
      <c r="D5" s="76"/>
      <c r="E5" s="1"/>
      <c r="F5" s="81"/>
      <c r="G5" s="40"/>
    </row>
    <row r="6" spans="1:9" ht="15.6" x14ac:dyDescent="0.3">
      <c r="A6" s="104" t="s">
        <v>2</v>
      </c>
      <c r="B6" s="105" t="s">
        <v>3</v>
      </c>
      <c r="C6" s="104" t="s">
        <v>4</v>
      </c>
      <c r="D6" s="104" t="s">
        <v>481</v>
      </c>
      <c r="E6" s="104" t="s">
        <v>482</v>
      </c>
      <c r="F6" s="106" t="s">
        <v>483</v>
      </c>
      <c r="G6" s="40"/>
    </row>
    <row r="7" spans="1:9" x14ac:dyDescent="0.3">
      <c r="A7" s="215" t="s">
        <v>495</v>
      </c>
      <c r="B7" s="175" t="s">
        <v>107</v>
      </c>
      <c r="C7" s="175" t="s">
        <v>108</v>
      </c>
      <c r="D7" s="175">
        <v>16.8</v>
      </c>
      <c r="E7" s="175" t="s">
        <v>485</v>
      </c>
      <c r="F7" s="176">
        <v>16</v>
      </c>
      <c r="G7" s="40"/>
    </row>
    <row r="8" spans="1:9" x14ac:dyDescent="0.3">
      <c r="A8" s="216" t="s">
        <v>598</v>
      </c>
      <c r="B8" s="175" t="s">
        <v>72</v>
      </c>
      <c r="C8" s="175" t="s">
        <v>71</v>
      </c>
      <c r="D8" s="175">
        <v>21</v>
      </c>
      <c r="E8" s="175" t="s">
        <v>485</v>
      </c>
      <c r="F8" s="176">
        <v>21</v>
      </c>
      <c r="G8" s="40"/>
    </row>
    <row r="9" spans="1:9" x14ac:dyDescent="0.3">
      <c r="A9" s="215" t="s">
        <v>511</v>
      </c>
      <c r="B9" s="175" t="s">
        <v>225</v>
      </c>
      <c r="C9" s="175" t="s">
        <v>226</v>
      </c>
      <c r="D9" s="175">
        <v>20.8</v>
      </c>
      <c r="E9" s="175" t="s">
        <v>485</v>
      </c>
      <c r="F9" s="176">
        <v>21</v>
      </c>
      <c r="G9" s="40"/>
    </row>
    <row r="10" spans="1:9" x14ac:dyDescent="0.3">
      <c r="A10" s="215" t="s">
        <v>524</v>
      </c>
      <c r="B10" s="175" t="s">
        <v>153</v>
      </c>
      <c r="C10" s="175" t="s">
        <v>154</v>
      </c>
      <c r="D10" s="175">
        <v>16.2</v>
      </c>
      <c r="E10" s="184" t="s">
        <v>484</v>
      </c>
      <c r="F10" s="185">
        <v>17</v>
      </c>
      <c r="G10" s="40"/>
    </row>
    <row r="11" spans="1:9" x14ac:dyDescent="0.3">
      <c r="A11" s="217" t="s">
        <v>599</v>
      </c>
      <c r="B11" s="175" t="s">
        <v>47</v>
      </c>
      <c r="C11" s="175" t="s">
        <v>48</v>
      </c>
      <c r="D11" s="175">
        <v>19.5</v>
      </c>
      <c r="E11" s="175" t="s">
        <v>485</v>
      </c>
      <c r="F11" s="176">
        <v>19</v>
      </c>
      <c r="G11" s="40"/>
    </row>
    <row r="12" spans="1:9" x14ac:dyDescent="0.3">
      <c r="A12" s="215" t="s">
        <v>600</v>
      </c>
      <c r="B12" s="175" t="s">
        <v>195</v>
      </c>
      <c r="C12" s="175" t="s">
        <v>196</v>
      </c>
      <c r="D12" s="175">
        <v>24.6</v>
      </c>
      <c r="E12" s="175" t="s">
        <v>485</v>
      </c>
      <c r="F12" s="176">
        <v>25</v>
      </c>
      <c r="G12" s="40"/>
    </row>
    <row r="13" spans="1:9" x14ac:dyDescent="0.3">
      <c r="A13" s="215" t="s">
        <v>601</v>
      </c>
      <c r="B13" s="175" t="s">
        <v>263</v>
      </c>
      <c r="C13" s="175" t="s">
        <v>264</v>
      </c>
      <c r="D13" s="175">
        <v>30</v>
      </c>
      <c r="E13" s="175" t="s">
        <v>573</v>
      </c>
      <c r="F13" s="176">
        <v>36</v>
      </c>
      <c r="G13" s="40"/>
    </row>
    <row r="14" spans="1:9" ht="15.6" x14ac:dyDescent="0.3">
      <c r="A14" s="217" t="s">
        <v>543</v>
      </c>
      <c r="B14" s="176" t="s">
        <v>353</v>
      </c>
      <c r="C14" s="176" t="s">
        <v>354</v>
      </c>
      <c r="D14" s="184">
        <v>24.2</v>
      </c>
      <c r="E14" s="175" t="s">
        <v>485</v>
      </c>
      <c r="F14" s="176">
        <v>25</v>
      </c>
      <c r="G14" s="6"/>
    </row>
    <row r="15" spans="1:9" x14ac:dyDescent="0.3">
      <c r="A15" s="215" t="s">
        <v>602</v>
      </c>
      <c r="B15" s="175" t="s">
        <v>460</v>
      </c>
      <c r="C15" s="175" t="s">
        <v>246</v>
      </c>
      <c r="D15" s="175">
        <v>11.1</v>
      </c>
      <c r="E15" s="176" t="s">
        <v>484</v>
      </c>
      <c r="F15" s="176">
        <v>11</v>
      </c>
    </row>
    <row r="16" spans="1:9" x14ac:dyDescent="0.3">
      <c r="A16" s="215" t="s">
        <v>603</v>
      </c>
      <c r="B16" s="175" t="s">
        <v>222</v>
      </c>
      <c r="C16" s="175" t="s">
        <v>223</v>
      </c>
      <c r="D16" s="175">
        <v>10</v>
      </c>
      <c r="E16" s="175" t="s">
        <v>484</v>
      </c>
      <c r="F16" s="176">
        <v>10</v>
      </c>
    </row>
    <row r="17" spans="1:6" x14ac:dyDescent="0.3">
      <c r="A17" s="215" t="s">
        <v>604</v>
      </c>
      <c r="B17" s="175" t="s">
        <v>222</v>
      </c>
      <c r="C17" s="175" t="s">
        <v>233</v>
      </c>
      <c r="D17" s="176">
        <v>11.8</v>
      </c>
      <c r="E17" s="175" t="s">
        <v>484</v>
      </c>
      <c r="F17" s="176">
        <v>12</v>
      </c>
    </row>
    <row r="18" spans="1:6" x14ac:dyDescent="0.3">
      <c r="A18" s="217" t="s">
        <v>605</v>
      </c>
      <c r="B18" s="176" t="s">
        <v>285</v>
      </c>
      <c r="C18" s="176" t="s">
        <v>286</v>
      </c>
      <c r="D18" s="175">
        <v>12.3</v>
      </c>
      <c r="E18" s="175" t="s">
        <v>484</v>
      </c>
      <c r="F18" s="176">
        <v>13</v>
      </c>
    </row>
    <row r="19" spans="1:6" x14ac:dyDescent="0.3">
      <c r="A19" s="217" t="s">
        <v>606</v>
      </c>
      <c r="B19" s="176" t="s">
        <v>341</v>
      </c>
      <c r="C19" s="176" t="s">
        <v>342</v>
      </c>
      <c r="D19" s="175">
        <v>14.3</v>
      </c>
      <c r="E19" s="175" t="s">
        <v>484</v>
      </c>
      <c r="F19" s="176">
        <v>15</v>
      </c>
    </row>
    <row r="20" spans="1:6" x14ac:dyDescent="0.3">
      <c r="A20" s="215" t="s">
        <v>607</v>
      </c>
      <c r="B20" s="175" t="s">
        <v>364</v>
      </c>
      <c r="C20" s="175" t="s">
        <v>365</v>
      </c>
      <c r="D20" s="175">
        <v>19</v>
      </c>
      <c r="E20" s="175" t="s">
        <v>485</v>
      </c>
      <c r="F20" s="176">
        <v>19</v>
      </c>
    </row>
    <row r="21" spans="1:6" x14ac:dyDescent="0.3">
      <c r="A21" s="217" t="s">
        <v>608</v>
      </c>
      <c r="B21" s="175" t="s">
        <v>249</v>
      </c>
      <c r="C21" s="175" t="s">
        <v>250</v>
      </c>
      <c r="D21" s="184">
        <v>12.2</v>
      </c>
      <c r="E21" s="184" t="s">
        <v>484</v>
      </c>
      <c r="F21" s="176">
        <v>13</v>
      </c>
    </row>
    <row r="22" spans="1:6" x14ac:dyDescent="0.3">
      <c r="A22" s="215" t="s">
        <v>609</v>
      </c>
      <c r="B22" s="175" t="s">
        <v>351</v>
      </c>
      <c r="C22" s="175" t="s">
        <v>352</v>
      </c>
      <c r="D22" s="175">
        <v>21.6</v>
      </c>
      <c r="E22" s="175" t="s">
        <v>573</v>
      </c>
      <c r="F22" s="188">
        <v>26</v>
      </c>
    </row>
    <row r="23" spans="1:6" x14ac:dyDescent="0.3">
      <c r="A23" s="215" t="s">
        <v>610</v>
      </c>
      <c r="B23" s="175" t="s">
        <v>339</v>
      </c>
      <c r="C23" s="175" t="s">
        <v>340</v>
      </c>
      <c r="D23" s="175">
        <v>13.1</v>
      </c>
      <c r="E23" s="175" t="s">
        <v>573</v>
      </c>
      <c r="F23" s="176">
        <v>16</v>
      </c>
    </row>
    <row r="24" spans="1:6" x14ac:dyDescent="0.3">
      <c r="A24" s="216" t="s">
        <v>611</v>
      </c>
      <c r="B24" s="176" t="s">
        <v>571</v>
      </c>
      <c r="C24" s="176" t="s">
        <v>161</v>
      </c>
      <c r="D24" s="175">
        <v>20.100000000000001</v>
      </c>
      <c r="E24" s="175" t="s">
        <v>485</v>
      </c>
      <c r="F24" s="176">
        <v>20</v>
      </c>
    </row>
    <row r="25" spans="1:6" x14ac:dyDescent="0.3">
      <c r="A25" s="215" t="s">
        <v>612</v>
      </c>
      <c r="B25" s="179" t="s">
        <v>41</v>
      </c>
      <c r="C25" s="175" t="s">
        <v>42</v>
      </c>
      <c r="D25" s="175">
        <v>13.8</v>
      </c>
      <c r="E25" s="175" t="s">
        <v>484</v>
      </c>
      <c r="F25" s="189">
        <v>15</v>
      </c>
    </row>
    <row r="26" spans="1:6" x14ac:dyDescent="0.3">
      <c r="A26" s="215" t="s">
        <v>613</v>
      </c>
      <c r="B26" s="179" t="s">
        <v>52</v>
      </c>
      <c r="C26" s="184" t="s">
        <v>53</v>
      </c>
      <c r="D26" s="184">
        <v>27</v>
      </c>
      <c r="E26" s="175" t="s">
        <v>573</v>
      </c>
      <c r="F26" s="176">
        <v>33</v>
      </c>
    </row>
    <row r="27" spans="1:6" x14ac:dyDescent="0.3">
      <c r="A27" s="218" t="s">
        <v>614</v>
      </c>
      <c r="B27" s="212" t="s">
        <v>157</v>
      </c>
      <c r="C27" s="191" t="s">
        <v>158</v>
      </c>
      <c r="D27" s="184">
        <v>16.2</v>
      </c>
      <c r="E27" s="175" t="s">
        <v>484</v>
      </c>
      <c r="F27" s="176">
        <v>17</v>
      </c>
    </row>
    <row r="28" spans="1:6" x14ac:dyDescent="0.3">
      <c r="A28" s="215" t="s">
        <v>615</v>
      </c>
      <c r="B28" s="176" t="s">
        <v>574</v>
      </c>
      <c r="C28" s="175" t="s">
        <v>575</v>
      </c>
      <c r="D28" s="184">
        <v>27.1</v>
      </c>
      <c r="E28" s="175" t="s">
        <v>485</v>
      </c>
      <c r="F28" s="176">
        <v>28</v>
      </c>
    </row>
    <row r="29" spans="1:6" x14ac:dyDescent="0.3">
      <c r="A29" s="215" t="s">
        <v>548</v>
      </c>
      <c r="B29" s="175" t="s">
        <v>39</v>
      </c>
      <c r="C29" s="175" t="s">
        <v>40</v>
      </c>
      <c r="D29" s="175">
        <v>15.2</v>
      </c>
      <c r="E29" s="175" t="s">
        <v>485</v>
      </c>
      <c r="F29" s="200">
        <v>15</v>
      </c>
    </row>
    <row r="30" spans="1:6" x14ac:dyDescent="0.3">
      <c r="A30" s="215" t="s">
        <v>616</v>
      </c>
      <c r="B30" s="175" t="s">
        <v>191</v>
      </c>
      <c r="C30" s="175" t="s">
        <v>106</v>
      </c>
      <c r="D30" s="175">
        <v>15.5</v>
      </c>
      <c r="E30" s="175" t="s">
        <v>484</v>
      </c>
      <c r="F30" s="176">
        <v>17</v>
      </c>
    </row>
    <row r="31" spans="1:6" x14ac:dyDescent="0.3">
      <c r="A31" s="215" t="s">
        <v>617</v>
      </c>
      <c r="B31" s="175" t="s">
        <v>235</v>
      </c>
      <c r="C31" s="175" t="s">
        <v>236</v>
      </c>
      <c r="D31" s="175">
        <v>17.899999999999999</v>
      </c>
      <c r="E31" s="175" t="s">
        <v>484</v>
      </c>
      <c r="F31" s="176">
        <v>20</v>
      </c>
    </row>
    <row r="32" spans="1:6" x14ac:dyDescent="0.3">
      <c r="A32" s="215" t="s">
        <v>618</v>
      </c>
      <c r="B32" s="175" t="s">
        <v>151</v>
      </c>
      <c r="C32" s="175" t="s">
        <v>152</v>
      </c>
      <c r="D32" s="175">
        <v>12.7</v>
      </c>
      <c r="E32" s="175" t="s">
        <v>484</v>
      </c>
      <c r="F32" s="176">
        <v>13</v>
      </c>
    </row>
    <row r="33" spans="1:6" x14ac:dyDescent="0.3">
      <c r="A33" s="215" t="s">
        <v>556</v>
      </c>
      <c r="B33" s="175" t="s">
        <v>188</v>
      </c>
      <c r="C33" s="175" t="s">
        <v>189</v>
      </c>
      <c r="D33" s="175">
        <v>21.7</v>
      </c>
      <c r="E33" s="175" t="s">
        <v>485</v>
      </c>
      <c r="F33" s="176">
        <v>22</v>
      </c>
    </row>
    <row r="34" spans="1:6" x14ac:dyDescent="0.3">
      <c r="A34" s="215" t="s">
        <v>619</v>
      </c>
      <c r="B34" s="175" t="s">
        <v>118</v>
      </c>
      <c r="C34" s="175" t="s">
        <v>119</v>
      </c>
      <c r="D34" s="175">
        <v>18.5</v>
      </c>
      <c r="E34" s="175" t="s">
        <v>485</v>
      </c>
      <c r="F34" s="200">
        <v>18</v>
      </c>
    </row>
    <row r="35" spans="1:6" x14ac:dyDescent="0.3">
      <c r="A35" s="217" t="s">
        <v>620</v>
      </c>
      <c r="B35" s="176" t="s">
        <v>193</v>
      </c>
      <c r="C35" s="176" t="s">
        <v>194</v>
      </c>
      <c r="D35" s="175">
        <v>28.1</v>
      </c>
      <c r="E35" s="175" t="s">
        <v>485</v>
      </c>
      <c r="F35" s="176">
        <v>29</v>
      </c>
    </row>
    <row r="36" spans="1:6" x14ac:dyDescent="0.3">
      <c r="A36" s="215" t="s">
        <v>498</v>
      </c>
      <c r="B36" s="175" t="s">
        <v>220</v>
      </c>
      <c r="C36" s="175" t="s">
        <v>221</v>
      </c>
      <c r="D36" s="175">
        <v>19.7</v>
      </c>
      <c r="E36" s="175" t="s">
        <v>485</v>
      </c>
      <c r="F36" s="176">
        <v>20</v>
      </c>
    </row>
    <row r="37" spans="1:6" x14ac:dyDescent="0.3">
      <c r="A37" s="219" t="s">
        <v>621</v>
      </c>
      <c r="B37" s="175" t="s">
        <v>333</v>
      </c>
      <c r="C37" s="175" t="s">
        <v>471</v>
      </c>
      <c r="D37" s="175">
        <v>30.2</v>
      </c>
      <c r="E37" s="175" t="s">
        <v>485</v>
      </c>
      <c r="F37" s="200">
        <v>31</v>
      </c>
    </row>
    <row r="38" spans="1:6" x14ac:dyDescent="0.3">
      <c r="A38" s="215" t="s">
        <v>622</v>
      </c>
      <c r="B38" s="175" t="s">
        <v>302</v>
      </c>
      <c r="C38" s="175" t="s">
        <v>303</v>
      </c>
      <c r="D38" s="175">
        <v>14.9</v>
      </c>
      <c r="E38" s="175" t="s">
        <v>484</v>
      </c>
      <c r="F38" s="176">
        <v>16</v>
      </c>
    </row>
    <row r="39" spans="1:6" x14ac:dyDescent="0.3">
      <c r="A39" s="215" t="s">
        <v>623</v>
      </c>
      <c r="B39" s="175" t="s">
        <v>366</v>
      </c>
      <c r="C39" s="175" t="s">
        <v>367</v>
      </c>
      <c r="D39" s="175">
        <v>4.4000000000000004</v>
      </c>
      <c r="E39" s="175" t="s">
        <v>484</v>
      </c>
      <c r="F39" s="176">
        <v>3</v>
      </c>
    </row>
    <row r="40" spans="1:6" x14ac:dyDescent="0.3">
      <c r="A40" s="215" t="s">
        <v>624</v>
      </c>
      <c r="B40" s="175" t="s">
        <v>326</v>
      </c>
      <c r="C40" s="175" t="s">
        <v>327</v>
      </c>
      <c r="D40" s="184">
        <v>17.5</v>
      </c>
      <c r="E40" s="175" t="s">
        <v>573</v>
      </c>
      <c r="F40" s="176">
        <v>21</v>
      </c>
    </row>
    <row r="41" spans="1:6" x14ac:dyDescent="0.3">
      <c r="A41" s="215" t="s">
        <v>625</v>
      </c>
      <c r="B41" s="175" t="s">
        <v>341</v>
      </c>
      <c r="C41" s="175" t="s">
        <v>369</v>
      </c>
      <c r="D41" s="175">
        <v>28</v>
      </c>
      <c r="E41" s="175" t="s">
        <v>573</v>
      </c>
      <c r="F41" s="200">
        <v>34</v>
      </c>
    </row>
    <row r="42" spans="1:6" x14ac:dyDescent="0.3">
      <c r="A42" s="215" t="s">
        <v>626</v>
      </c>
      <c r="B42" s="175" t="s">
        <v>141</v>
      </c>
      <c r="C42" s="175" t="s">
        <v>142</v>
      </c>
      <c r="D42" s="175">
        <v>11.1</v>
      </c>
      <c r="E42" s="175" t="s">
        <v>484</v>
      </c>
      <c r="F42" s="176">
        <v>11</v>
      </c>
    </row>
    <row r="43" spans="1:6" x14ac:dyDescent="0.3">
      <c r="A43" s="215" t="s">
        <v>627</v>
      </c>
      <c r="B43" s="175" t="s">
        <v>355</v>
      </c>
      <c r="C43" s="175" t="s">
        <v>356</v>
      </c>
      <c r="D43" s="175">
        <v>15</v>
      </c>
      <c r="E43" s="175" t="s">
        <v>484</v>
      </c>
      <c r="F43" s="176">
        <v>16</v>
      </c>
    </row>
    <row r="44" spans="1:6" x14ac:dyDescent="0.3">
      <c r="A44" s="220" t="s">
        <v>628</v>
      </c>
      <c r="B44" s="179" t="s">
        <v>175</v>
      </c>
      <c r="C44" s="175" t="s">
        <v>176</v>
      </c>
      <c r="D44" s="184">
        <v>10.7</v>
      </c>
      <c r="E44" s="175" t="s">
        <v>484</v>
      </c>
      <c r="F44" s="176">
        <v>11</v>
      </c>
    </row>
    <row r="45" spans="1:6" x14ac:dyDescent="0.3">
      <c r="A45" s="215" t="s">
        <v>526</v>
      </c>
      <c r="B45" s="175" t="s">
        <v>149</v>
      </c>
      <c r="C45" s="175" t="s">
        <v>150</v>
      </c>
      <c r="D45" s="184">
        <v>12.1</v>
      </c>
      <c r="E45" s="175" t="s">
        <v>484</v>
      </c>
      <c r="F45" s="176">
        <v>12</v>
      </c>
    </row>
    <row r="46" spans="1:6" x14ac:dyDescent="0.3">
      <c r="A46" s="217" t="s">
        <v>629</v>
      </c>
      <c r="B46" s="176" t="s">
        <v>328</v>
      </c>
      <c r="C46" s="176" t="s">
        <v>200</v>
      </c>
      <c r="D46" s="176">
        <v>15.8</v>
      </c>
      <c r="E46" s="175" t="s">
        <v>484</v>
      </c>
      <c r="F46" s="176">
        <v>17</v>
      </c>
    </row>
    <row r="47" spans="1:6" x14ac:dyDescent="0.3">
      <c r="A47" s="215" t="s">
        <v>630</v>
      </c>
      <c r="B47" s="175" t="s">
        <v>462</v>
      </c>
      <c r="C47" s="175" t="s">
        <v>570</v>
      </c>
      <c r="D47" s="175">
        <v>18.8</v>
      </c>
      <c r="E47" s="176" t="s">
        <v>485</v>
      </c>
      <c r="F47" s="176">
        <v>19</v>
      </c>
    </row>
    <row r="48" spans="1:6" ht="15" thickBot="1" x14ac:dyDescent="0.35">
      <c r="A48" s="217">
        <v>2365</v>
      </c>
      <c r="B48" s="176" t="s">
        <v>105</v>
      </c>
      <c r="C48" s="176" t="s">
        <v>106</v>
      </c>
      <c r="D48" s="176">
        <v>5.0999999999999996</v>
      </c>
      <c r="E48" s="175" t="s">
        <v>484</v>
      </c>
      <c r="F48" s="185">
        <v>4</v>
      </c>
    </row>
    <row r="49" spans="1:6" x14ac:dyDescent="0.3">
      <c r="A49" s="221">
        <v>39218</v>
      </c>
      <c r="B49" s="267" t="s">
        <v>654</v>
      </c>
      <c r="C49" s="267" t="s">
        <v>656</v>
      </c>
      <c r="D49" s="175">
        <v>28</v>
      </c>
      <c r="E49" s="175" t="s">
        <v>485</v>
      </c>
      <c r="F49" s="176">
        <v>28</v>
      </c>
    </row>
    <row r="50" spans="1:6" x14ac:dyDescent="0.3">
      <c r="A50" s="220" t="s">
        <v>631</v>
      </c>
      <c r="B50" s="176" t="s">
        <v>589</v>
      </c>
      <c r="C50" s="175" t="s">
        <v>590</v>
      </c>
      <c r="D50" s="175">
        <v>27.1</v>
      </c>
      <c r="E50" s="175" t="s">
        <v>485</v>
      </c>
      <c r="F50" s="176">
        <v>28</v>
      </c>
    </row>
    <row r="51" spans="1:6" ht="15.6" x14ac:dyDescent="0.3">
      <c r="A51" s="35"/>
      <c r="C51" s="36"/>
      <c r="D51" s="2"/>
      <c r="E51" s="2"/>
      <c r="F51"/>
    </row>
    <row r="52" spans="1:6" ht="15.6" x14ac:dyDescent="0.3">
      <c r="A52" s="35"/>
      <c r="C52" s="1"/>
      <c r="D52" s="2"/>
      <c r="E52" s="2"/>
      <c r="F52"/>
    </row>
    <row r="53" spans="1:6" ht="15.6" x14ac:dyDescent="0.3">
      <c r="A53" s="35"/>
      <c r="C53" s="1"/>
      <c r="D53" s="2"/>
      <c r="E53" s="2"/>
      <c r="F53"/>
    </row>
    <row r="54" spans="1:6" ht="15.6" x14ac:dyDescent="0.3">
      <c r="A54" s="35"/>
      <c r="C54" s="1"/>
      <c r="D54" s="2"/>
      <c r="E54" s="2"/>
      <c r="F54"/>
    </row>
    <row r="55" spans="1:6" ht="15.6" x14ac:dyDescent="0.3">
      <c r="A55" s="37"/>
      <c r="C55" s="1"/>
      <c r="D55" s="2"/>
      <c r="E55" s="2"/>
      <c r="F55"/>
    </row>
    <row r="56" spans="1:6" ht="15.6" x14ac:dyDescent="0.3">
      <c r="A56" s="2"/>
      <c r="C56" s="1"/>
      <c r="D56" s="39"/>
      <c r="E56" s="2"/>
    </row>
    <row r="57" spans="1:6" ht="15.6" x14ac:dyDescent="0.3">
      <c r="A57" s="34"/>
      <c r="C57" s="1"/>
      <c r="D57" s="39"/>
      <c r="E57" s="2"/>
    </row>
    <row r="58" spans="1:6" ht="15.6" x14ac:dyDescent="0.3">
      <c r="A58" s="35"/>
      <c r="C58" s="36"/>
      <c r="D58" s="2"/>
      <c r="E58" s="2"/>
      <c r="F58"/>
    </row>
    <row r="59" spans="1:6" ht="15.6" x14ac:dyDescent="0.3">
      <c r="A59" s="37"/>
      <c r="C59" s="36"/>
      <c r="D59" s="2"/>
      <c r="E59" s="2"/>
      <c r="F59"/>
    </row>
    <row r="60" spans="1:6" ht="15.6" x14ac:dyDescent="0.3">
      <c r="A60" s="2"/>
      <c r="C60" s="1"/>
      <c r="D60" s="2"/>
      <c r="E60" s="2"/>
      <c r="F60"/>
    </row>
    <row r="61" spans="1:6" ht="15.6" x14ac:dyDescent="0.3">
      <c r="A61" s="34"/>
      <c r="C61" s="4"/>
      <c r="D61" s="5"/>
      <c r="E61" s="5"/>
    </row>
    <row r="62" spans="1:6" ht="15.6" x14ac:dyDescent="0.3">
      <c r="A62" s="35"/>
      <c r="C62" s="1"/>
      <c r="D62" s="2"/>
      <c r="E62" s="2"/>
      <c r="F62"/>
    </row>
    <row r="63" spans="1:6" ht="15.6" x14ac:dyDescent="0.3">
      <c r="A63" s="35"/>
      <c r="C63" s="1"/>
      <c r="D63" s="2"/>
      <c r="E63" s="2"/>
      <c r="F63"/>
    </row>
    <row r="64" spans="1:6" ht="15.6" x14ac:dyDescent="0.3">
      <c r="A64" s="37"/>
      <c r="C64" s="1"/>
      <c r="D64" s="2"/>
      <c r="E64" s="2"/>
      <c r="F64"/>
    </row>
    <row r="65" spans="1:6" ht="15.6" x14ac:dyDescent="0.3">
      <c r="A65" s="2"/>
      <c r="C65" s="1"/>
      <c r="D65" s="2"/>
      <c r="E65" s="2"/>
    </row>
    <row r="66" spans="1:6" ht="15.6" x14ac:dyDescent="0.3">
      <c r="A66" s="2"/>
      <c r="C66" s="36"/>
      <c r="D66" s="2"/>
      <c r="E66" s="2"/>
      <c r="F66"/>
    </row>
    <row r="67" spans="1:6" ht="15.6" x14ac:dyDescent="0.3">
      <c r="A67" s="38"/>
      <c r="C67" s="1"/>
      <c r="D67" s="39"/>
      <c r="E67" s="2"/>
    </row>
    <row r="68" spans="1:6" ht="15.6" x14ac:dyDescent="0.3">
      <c r="A68" s="2"/>
      <c r="C68" s="1"/>
      <c r="D68" s="2"/>
      <c r="E68" s="2"/>
      <c r="F68"/>
    </row>
    <row r="69" spans="1:6" ht="15.6" x14ac:dyDescent="0.3">
      <c r="A69" s="34"/>
      <c r="C69" s="1"/>
      <c r="D69" s="2"/>
      <c r="E69" s="2"/>
      <c r="F69"/>
    </row>
    <row r="70" spans="1:6" ht="15.6" x14ac:dyDescent="0.3">
      <c r="A70" s="35"/>
      <c r="C70" s="1"/>
      <c r="D70" s="2"/>
      <c r="E70" s="2"/>
      <c r="F70"/>
    </row>
    <row r="71" spans="1:6" ht="15.6" x14ac:dyDescent="0.3">
      <c r="A71" s="35"/>
      <c r="C71" s="1"/>
      <c r="D71" s="2"/>
      <c r="E71" s="2"/>
      <c r="F71"/>
    </row>
    <row r="72" spans="1:6" ht="15.6" x14ac:dyDescent="0.3">
      <c r="A72" s="35"/>
      <c r="C72" s="1"/>
      <c r="D72" s="39"/>
      <c r="E72" s="2"/>
    </row>
    <row r="73" spans="1:6" ht="15.6" x14ac:dyDescent="0.3">
      <c r="A73" s="37"/>
      <c r="C73" s="1"/>
      <c r="D73" s="2"/>
      <c r="E73" s="2"/>
    </row>
    <row r="74" spans="1:6" ht="15.6" x14ac:dyDescent="0.3">
      <c r="A74" s="2"/>
      <c r="C74" s="1"/>
      <c r="D74" s="39"/>
      <c r="E74" s="2"/>
    </row>
    <row r="75" spans="1:6" ht="15.6" x14ac:dyDescent="0.3">
      <c r="A75" s="2"/>
      <c r="C75" s="1"/>
      <c r="D75" s="2"/>
      <c r="E75" s="2"/>
      <c r="F75"/>
    </row>
    <row r="76" spans="1:6" ht="15.6" x14ac:dyDescent="0.3">
      <c r="A76" s="34"/>
      <c r="C76" s="1"/>
      <c r="D76" s="2"/>
      <c r="E76" s="2"/>
    </row>
    <row r="77" spans="1:6" ht="15.6" x14ac:dyDescent="0.3">
      <c r="A77" s="37"/>
      <c r="C77" s="1"/>
      <c r="D77" s="2"/>
      <c r="E77" s="2"/>
      <c r="F77"/>
    </row>
    <row r="78" spans="1:6" ht="15.6" x14ac:dyDescent="0.3">
      <c r="A78" s="2"/>
      <c r="C78" s="1"/>
      <c r="D78" s="2"/>
      <c r="E78" s="2"/>
      <c r="F78"/>
    </row>
    <row r="79" spans="1:6" ht="15.6" x14ac:dyDescent="0.3">
      <c r="A79" s="34"/>
      <c r="C79" s="1"/>
      <c r="D79" s="2"/>
      <c r="E79" s="2"/>
      <c r="F79"/>
    </row>
    <row r="80" spans="1:6" ht="15.6" x14ac:dyDescent="0.3">
      <c r="A80" s="35"/>
      <c r="C80" s="1"/>
      <c r="D80" s="2"/>
      <c r="E80" s="2"/>
      <c r="F80"/>
    </row>
    <row r="81" spans="1:6" ht="15.6" x14ac:dyDescent="0.3">
      <c r="A81" s="37"/>
      <c r="C81" s="1"/>
      <c r="D81" s="39"/>
      <c r="E81" s="2"/>
    </row>
    <row r="82" spans="1:6" ht="15.6" x14ac:dyDescent="0.3">
      <c r="A82" s="2"/>
      <c r="C82" s="1"/>
      <c r="D82" s="2"/>
      <c r="E82" s="2"/>
      <c r="F82"/>
    </row>
    <row r="83" spans="1:6" ht="15.6" x14ac:dyDescent="0.3">
      <c r="A83" s="2"/>
      <c r="C83" s="1"/>
      <c r="D83" s="2"/>
      <c r="E83" s="2"/>
      <c r="F83"/>
    </row>
    <row r="84" spans="1:6" ht="15.6" x14ac:dyDescent="0.3">
      <c r="A84" s="34"/>
      <c r="C84" s="1"/>
      <c r="D84" s="2"/>
      <c r="E84" s="2"/>
      <c r="F84"/>
    </row>
    <row r="85" spans="1:6" ht="15.6" x14ac:dyDescent="0.3">
      <c r="A85" s="37"/>
      <c r="C85" s="1"/>
      <c r="D85" s="2"/>
      <c r="E85" s="2"/>
      <c r="F85"/>
    </row>
    <row r="86" spans="1:6" ht="15.6" x14ac:dyDescent="0.3">
      <c r="A86" s="2"/>
      <c r="C86" s="1"/>
      <c r="D86" s="2"/>
      <c r="E86" s="2"/>
      <c r="F86"/>
    </row>
    <row r="87" spans="1:6" ht="15.6" x14ac:dyDescent="0.3">
      <c r="A87" s="38"/>
      <c r="C87" s="1"/>
      <c r="D87" s="2"/>
      <c r="E87" s="2"/>
      <c r="F87"/>
    </row>
    <row r="88" spans="1:6" ht="15.6" x14ac:dyDescent="0.3">
      <c r="A88" s="2"/>
      <c r="C88" s="1"/>
      <c r="D88" s="2"/>
      <c r="E88" s="2"/>
      <c r="F88"/>
    </row>
    <row r="89" spans="1:6" ht="15.6" x14ac:dyDescent="0.3">
      <c r="A89" s="34"/>
      <c r="C89" s="3"/>
      <c r="D89" s="2"/>
      <c r="E89" s="2"/>
    </row>
    <row r="90" spans="1:6" ht="15.6" x14ac:dyDescent="0.3">
      <c r="A90" s="35"/>
      <c r="C90" s="1"/>
      <c r="D90" s="2"/>
      <c r="E90" s="2"/>
      <c r="F90"/>
    </row>
    <row r="91" spans="1:6" ht="15.6" x14ac:dyDescent="0.3">
      <c r="A91" s="37"/>
      <c r="C91" s="1"/>
      <c r="D91" s="2"/>
      <c r="E91" s="2"/>
      <c r="F91"/>
    </row>
    <row r="92" spans="1:6" ht="15.6" x14ac:dyDescent="0.3">
      <c r="A92" s="2"/>
      <c r="C92" s="1"/>
      <c r="D92" s="2"/>
      <c r="E92" s="2"/>
      <c r="F92"/>
    </row>
    <row r="93" spans="1:6" ht="15.6" x14ac:dyDescent="0.3">
      <c r="A93" s="34"/>
      <c r="C93" s="1"/>
      <c r="D93" s="2"/>
      <c r="E93" s="2"/>
      <c r="F93"/>
    </row>
    <row r="94" spans="1:6" ht="15.6" x14ac:dyDescent="0.3">
      <c r="A94" s="37"/>
      <c r="C94" s="1"/>
      <c r="D94" s="39"/>
      <c r="E94" s="2"/>
    </row>
    <row r="95" spans="1:6" ht="15.6" x14ac:dyDescent="0.3">
      <c r="A95" s="2"/>
      <c r="C95" s="3"/>
      <c r="D95" s="2"/>
      <c r="E95" s="2"/>
    </row>
    <row r="96" spans="1:6" ht="15.6" x14ac:dyDescent="0.3">
      <c r="A96" s="2"/>
      <c r="C96" s="1"/>
      <c r="D96" s="2"/>
      <c r="E96" s="2"/>
      <c r="F96"/>
    </row>
    <row r="97" spans="1:6" ht="15.6" x14ac:dyDescent="0.3">
      <c r="A97" s="38"/>
      <c r="C97" s="1"/>
      <c r="D97" s="39"/>
      <c r="E97" s="2"/>
    </row>
    <row r="98" spans="1:6" ht="15.6" x14ac:dyDescent="0.3">
      <c r="A98" s="2"/>
      <c r="C98" s="1"/>
      <c r="D98" s="39"/>
      <c r="E98" s="2"/>
    </row>
    <row r="99" spans="1:6" ht="15.6" x14ac:dyDescent="0.3">
      <c r="A99" s="38"/>
      <c r="C99" s="36"/>
      <c r="D99" s="2"/>
      <c r="E99" s="2"/>
      <c r="F99"/>
    </row>
    <row r="100" spans="1:6" ht="15.6" x14ac:dyDescent="0.3">
      <c r="A100" s="2"/>
      <c r="C100" s="1"/>
      <c r="D100" s="2"/>
      <c r="E100" s="2"/>
      <c r="F100"/>
    </row>
    <row r="101" spans="1:6" ht="15.6" x14ac:dyDescent="0.3">
      <c r="A101" s="2"/>
      <c r="C101" s="1"/>
      <c r="D101" s="2"/>
      <c r="E101" s="2"/>
      <c r="F101"/>
    </row>
    <row r="102" spans="1:6" ht="15.6" x14ac:dyDescent="0.3">
      <c r="A102" s="34"/>
      <c r="C102" s="1"/>
      <c r="D102" s="2"/>
      <c r="E102" s="2"/>
      <c r="F102"/>
    </row>
    <row r="103" spans="1:6" ht="15.6" x14ac:dyDescent="0.3">
      <c r="A103" s="35"/>
      <c r="C103" s="1"/>
      <c r="D103" s="2"/>
      <c r="E103" s="2"/>
      <c r="F103"/>
    </row>
    <row r="104" spans="1:6" ht="15.6" x14ac:dyDescent="0.3">
      <c r="A104" s="37"/>
      <c r="C104" s="1"/>
      <c r="D104" s="2"/>
      <c r="E104" s="2"/>
      <c r="F104"/>
    </row>
    <row r="105" spans="1:6" ht="15.6" x14ac:dyDescent="0.3">
      <c r="A105" s="2"/>
      <c r="C105" s="1"/>
      <c r="D105" s="2"/>
      <c r="E105" s="2"/>
      <c r="F105"/>
    </row>
    <row r="106" spans="1:6" ht="15.6" x14ac:dyDescent="0.3">
      <c r="A106" s="38"/>
      <c r="C106" s="3"/>
      <c r="D106" s="2"/>
      <c r="E106" s="2"/>
      <c r="F106"/>
    </row>
    <row r="107" spans="1:6" ht="15.6" x14ac:dyDescent="0.3">
      <c r="A107" s="2"/>
      <c r="C107" s="1"/>
      <c r="D107" s="2"/>
      <c r="E107" s="2"/>
      <c r="F107"/>
    </row>
    <row r="108" spans="1:6" ht="15.6" x14ac:dyDescent="0.3">
      <c r="A108" s="34"/>
      <c r="C108" s="1"/>
      <c r="D108" s="2"/>
      <c r="E108" s="2"/>
      <c r="F108"/>
    </row>
    <row r="109" spans="1:6" ht="15.6" x14ac:dyDescent="0.3">
      <c r="A109" s="35"/>
      <c r="C109" s="3"/>
      <c r="D109" s="2"/>
      <c r="E109" s="2"/>
      <c r="F109"/>
    </row>
    <row r="110" spans="1:6" ht="15.6" x14ac:dyDescent="0.3">
      <c r="A110" s="35"/>
      <c r="C110" s="4"/>
      <c r="D110" s="39"/>
      <c r="E110" s="2"/>
    </row>
    <row r="111" spans="1:6" ht="15.6" x14ac:dyDescent="0.3">
      <c r="A111" s="35"/>
      <c r="C111" s="1"/>
      <c r="D111" s="2"/>
      <c r="E111" s="2"/>
    </row>
    <row r="112" spans="1:6" ht="15.6" x14ac:dyDescent="0.3">
      <c r="A112" s="37"/>
      <c r="C112" s="3"/>
      <c r="D112" s="2"/>
      <c r="E112" s="2"/>
    </row>
    <row r="113" spans="1:6" ht="15.6" x14ac:dyDescent="0.3">
      <c r="A113" s="2"/>
      <c r="C113" s="1"/>
      <c r="D113" s="2"/>
      <c r="E113" s="2"/>
      <c r="F113"/>
    </row>
    <row r="114" spans="1:6" ht="15.6" x14ac:dyDescent="0.3">
      <c r="A114" s="2"/>
      <c r="C114" s="1"/>
      <c r="D114" s="2"/>
      <c r="E114" s="2"/>
      <c r="F114"/>
    </row>
    <row r="115" spans="1:6" ht="15.6" x14ac:dyDescent="0.3">
      <c r="A115" s="2"/>
      <c r="C115" s="1"/>
      <c r="D115" s="2"/>
      <c r="E115" s="2"/>
    </row>
    <row r="116" spans="1:6" ht="15.6" x14ac:dyDescent="0.3">
      <c r="A116" s="34"/>
      <c r="C116" s="1"/>
      <c r="D116" s="2"/>
      <c r="E116" s="2"/>
      <c r="F116"/>
    </row>
    <row r="117" spans="1:6" ht="15.6" x14ac:dyDescent="0.3">
      <c r="A117" s="35"/>
      <c r="C117" s="36"/>
      <c r="D117" s="2"/>
      <c r="E117" s="2"/>
      <c r="F117"/>
    </row>
    <row r="118" spans="1:6" ht="15.6" x14ac:dyDescent="0.3">
      <c r="A118" s="37"/>
      <c r="C118" s="1"/>
      <c r="D118" s="39"/>
      <c r="E118" s="2"/>
    </row>
    <row r="119" spans="1:6" ht="15.6" x14ac:dyDescent="0.3">
      <c r="A119" s="2"/>
      <c r="C119" s="1"/>
      <c r="D119" s="2"/>
      <c r="E119" s="2"/>
    </row>
    <row r="120" spans="1:6" ht="15.6" x14ac:dyDescent="0.3">
      <c r="A120" s="34"/>
      <c r="C120" s="1"/>
      <c r="D120" s="2"/>
      <c r="E120" s="2"/>
      <c r="F120"/>
    </row>
    <row r="121" spans="1:6" ht="15.6" x14ac:dyDescent="0.3">
      <c r="A121" s="35"/>
      <c r="C121" s="1"/>
      <c r="D121" s="2"/>
      <c r="E121" s="2"/>
    </row>
    <row r="122" spans="1:6" ht="15.6" x14ac:dyDescent="0.3">
      <c r="A122" s="37"/>
      <c r="C122" s="1"/>
      <c r="D122" s="2"/>
      <c r="E122" s="2"/>
      <c r="F122"/>
    </row>
    <row r="123" spans="1:6" ht="15.6" x14ac:dyDescent="0.3">
      <c r="A123" s="2"/>
      <c r="C123" s="1"/>
      <c r="D123" s="2"/>
      <c r="E123" s="2"/>
      <c r="F123"/>
    </row>
    <row r="124" spans="1:6" ht="15.6" x14ac:dyDescent="0.3">
      <c r="A124" s="2"/>
      <c r="C124" s="1"/>
      <c r="D124" s="2"/>
      <c r="E124" s="2"/>
    </row>
    <row r="125" spans="1:6" ht="15.6" x14ac:dyDescent="0.3">
      <c r="A125" s="34"/>
      <c r="C125" s="1"/>
      <c r="D125" s="2"/>
      <c r="E125" s="2"/>
      <c r="F125"/>
    </row>
    <row r="126" spans="1:6" ht="15.6" x14ac:dyDescent="0.3">
      <c r="A126" s="35"/>
      <c r="C126" s="3"/>
      <c r="D126" s="2"/>
      <c r="E126" s="2"/>
      <c r="F126"/>
    </row>
    <row r="127" spans="1:6" ht="15.6" x14ac:dyDescent="0.3">
      <c r="A127" s="35"/>
      <c r="C127" s="1"/>
      <c r="D127" s="2"/>
      <c r="E127" s="2"/>
      <c r="F127"/>
    </row>
    <row r="128" spans="1:6" ht="15.6" x14ac:dyDescent="0.3">
      <c r="A128" s="35"/>
      <c r="C128" s="1"/>
      <c r="D128" s="2"/>
      <c r="E128" s="2"/>
      <c r="F128"/>
    </row>
    <row r="129" spans="1:6" ht="15.6" x14ac:dyDescent="0.3">
      <c r="A129" s="35"/>
      <c r="C129" s="1"/>
      <c r="D129" s="39"/>
      <c r="E129" s="2"/>
    </row>
    <row r="130" spans="1:6" ht="15.6" x14ac:dyDescent="0.3">
      <c r="A130" s="37"/>
      <c r="C130" s="36"/>
      <c r="D130" s="2"/>
      <c r="E130" s="2"/>
      <c r="F130"/>
    </row>
    <row r="131" spans="1:6" ht="15.6" x14ac:dyDescent="0.3">
      <c r="A131" s="2"/>
      <c r="C131" s="1"/>
      <c r="D131" s="2"/>
      <c r="E131" s="2"/>
      <c r="F131"/>
    </row>
    <row r="132" spans="1:6" ht="15.6" x14ac:dyDescent="0.3">
      <c r="A132" s="2"/>
      <c r="C132" s="4"/>
      <c r="D132" s="5"/>
      <c r="E132" s="5"/>
    </row>
    <row r="133" spans="1:6" ht="15.6" x14ac:dyDescent="0.3">
      <c r="A133" s="34"/>
      <c r="C133" s="1"/>
      <c r="D133" s="2"/>
      <c r="E133" s="2"/>
      <c r="F133"/>
    </row>
    <row r="134" spans="1:6" ht="15.6" x14ac:dyDescent="0.3">
      <c r="A134" s="37"/>
      <c r="C134" s="1"/>
      <c r="D134" s="39"/>
      <c r="E134" s="2"/>
    </row>
    <row r="135" spans="1:6" ht="15.6" x14ac:dyDescent="0.3">
      <c r="A135" s="2"/>
      <c r="C135" s="1"/>
      <c r="D135" s="2"/>
      <c r="E135" s="2"/>
      <c r="F135"/>
    </row>
    <row r="136" spans="1:6" ht="15.6" x14ac:dyDescent="0.3">
      <c r="A136" s="2"/>
      <c r="C136" s="1"/>
      <c r="D136" s="2"/>
      <c r="E136" s="2"/>
      <c r="F136"/>
    </row>
    <row r="137" spans="1:6" ht="15.6" x14ac:dyDescent="0.3">
      <c r="A137" s="34"/>
      <c r="C137" s="36"/>
      <c r="D137" s="2"/>
      <c r="E137" s="2"/>
      <c r="F137"/>
    </row>
    <row r="138" spans="1:6" ht="15.6" x14ac:dyDescent="0.3">
      <c r="A138" s="37"/>
      <c r="C138" s="1"/>
      <c r="D138" s="2"/>
      <c r="E138" s="2"/>
    </row>
    <row r="139" spans="1:6" ht="15.6" x14ac:dyDescent="0.3">
      <c r="A139" s="2"/>
      <c r="C139" s="1"/>
      <c r="D139" s="2"/>
      <c r="E139" s="2"/>
      <c r="F139"/>
    </row>
    <row r="140" spans="1:6" ht="15.6" x14ac:dyDescent="0.3">
      <c r="A140" s="34"/>
      <c r="C140" s="1"/>
      <c r="D140" s="2"/>
      <c r="E140" s="2"/>
      <c r="F140"/>
    </row>
    <row r="141" spans="1:6" ht="15.6" x14ac:dyDescent="0.3">
      <c r="A141" s="37"/>
      <c r="C141" s="1"/>
      <c r="D141" s="2"/>
      <c r="E141" s="2"/>
      <c r="F141"/>
    </row>
    <row r="142" spans="1:6" ht="15.6" x14ac:dyDescent="0.3">
      <c r="A142" s="2"/>
      <c r="C142" s="1"/>
      <c r="D142" s="2"/>
      <c r="E142" s="2"/>
    </row>
    <row r="143" spans="1:6" ht="15.6" x14ac:dyDescent="0.3">
      <c r="A143" s="34"/>
      <c r="C143" s="1"/>
      <c r="D143" s="2"/>
      <c r="E143" s="2"/>
    </row>
    <row r="144" spans="1:6" ht="15.6" x14ac:dyDescent="0.3">
      <c r="A144" s="35"/>
      <c r="C144" s="1"/>
      <c r="D144" s="2"/>
      <c r="E144" s="2"/>
    </row>
    <row r="145" spans="1:6" ht="15.6" x14ac:dyDescent="0.3">
      <c r="A145" s="35"/>
      <c r="C145" s="1"/>
      <c r="D145" s="2"/>
      <c r="E145" s="2"/>
    </row>
    <row r="146" spans="1:6" ht="15.6" x14ac:dyDescent="0.3">
      <c r="A146" s="35"/>
      <c r="C146" s="1"/>
      <c r="D146" s="2"/>
      <c r="E146" s="2"/>
      <c r="F146"/>
    </row>
    <row r="147" spans="1:6" ht="15.6" x14ac:dyDescent="0.3">
      <c r="A147" s="35"/>
      <c r="C147" s="1"/>
      <c r="D147" s="2"/>
      <c r="E147" s="2"/>
      <c r="F147"/>
    </row>
    <row r="148" spans="1:6" ht="15.6" x14ac:dyDescent="0.3">
      <c r="A148" s="37"/>
      <c r="C148" s="1"/>
      <c r="D148" s="2"/>
      <c r="E148" s="2"/>
      <c r="F148"/>
    </row>
    <row r="149" spans="1:6" ht="15.6" x14ac:dyDescent="0.3">
      <c r="A149" s="2"/>
      <c r="C149" s="1"/>
      <c r="D149" s="2"/>
      <c r="E149" s="2"/>
      <c r="F149"/>
    </row>
    <row r="150" spans="1:6" ht="15.6" x14ac:dyDescent="0.3">
      <c r="A150" s="34"/>
      <c r="C150" s="1"/>
      <c r="D150" s="2"/>
      <c r="E150" s="2"/>
    </row>
    <row r="151" spans="1:6" ht="15.6" x14ac:dyDescent="0.3">
      <c r="A151" s="37"/>
      <c r="C151" s="4"/>
      <c r="D151" s="39"/>
      <c r="E151" s="2"/>
    </row>
    <row r="152" spans="1:6" ht="15.6" x14ac:dyDescent="0.3">
      <c r="A152" s="2"/>
      <c r="C152" s="1"/>
      <c r="D152" s="39"/>
      <c r="E152" s="2"/>
    </row>
    <row r="153" spans="1:6" ht="15.6" x14ac:dyDescent="0.3">
      <c r="A153" s="38"/>
      <c r="C153" s="1"/>
      <c r="D153" s="2"/>
      <c r="E153" s="2"/>
      <c r="F153"/>
    </row>
    <row r="154" spans="1:6" ht="15.6" x14ac:dyDescent="0.3">
      <c r="A154" s="2"/>
      <c r="C154" s="1"/>
      <c r="D154" s="2"/>
      <c r="E154" s="2"/>
      <c r="F154"/>
    </row>
    <row r="155" spans="1:6" ht="15.6" x14ac:dyDescent="0.3">
      <c r="A155" s="34"/>
      <c r="C155" s="1"/>
      <c r="D155" s="2"/>
      <c r="E155" s="2"/>
      <c r="F155"/>
    </row>
    <row r="156" spans="1:6" ht="15.6" x14ac:dyDescent="0.3">
      <c r="A156" s="35"/>
      <c r="C156" s="1"/>
      <c r="D156" s="2"/>
      <c r="E156" s="2"/>
      <c r="F156"/>
    </row>
    <row r="157" spans="1:6" ht="15.6" x14ac:dyDescent="0.3">
      <c r="A157" s="37"/>
      <c r="C157" s="1"/>
      <c r="D157" s="2"/>
      <c r="E157" s="2"/>
      <c r="F157"/>
    </row>
    <row r="158" spans="1:6" ht="15.6" x14ac:dyDescent="0.3">
      <c r="A158" s="2"/>
      <c r="C158" s="1"/>
      <c r="D158" s="2"/>
      <c r="E158" s="2"/>
      <c r="F158"/>
    </row>
    <row r="159" spans="1:6" ht="15.6" x14ac:dyDescent="0.3">
      <c r="A159" s="34"/>
      <c r="C159" s="1"/>
      <c r="D159" s="2"/>
      <c r="E159" s="2"/>
    </row>
    <row r="160" spans="1:6" ht="15.6" x14ac:dyDescent="0.3">
      <c r="A160" s="35"/>
      <c r="C160" s="1"/>
      <c r="D160" s="2"/>
      <c r="E160" s="2"/>
    </row>
    <row r="161" spans="1:6" ht="15.6" x14ac:dyDescent="0.3">
      <c r="A161" s="35"/>
      <c r="C161" s="1"/>
      <c r="D161" s="2"/>
      <c r="E161" s="2"/>
      <c r="F161"/>
    </row>
    <row r="162" spans="1:6" ht="15.6" x14ac:dyDescent="0.3">
      <c r="A162" s="35"/>
      <c r="C162" s="1"/>
      <c r="D162" s="2"/>
      <c r="E162" s="2"/>
    </row>
    <row r="163" spans="1:6" ht="15.6" x14ac:dyDescent="0.3">
      <c r="A163" s="37"/>
      <c r="C163" s="1"/>
      <c r="D163" s="2"/>
      <c r="E163" s="2"/>
    </row>
    <row r="164" spans="1:6" ht="15.6" x14ac:dyDescent="0.3">
      <c r="A164" s="2"/>
      <c r="C164" s="1"/>
      <c r="D164" s="2"/>
      <c r="E164" s="2"/>
    </row>
    <row r="165" spans="1:6" ht="15.6" x14ac:dyDescent="0.3">
      <c r="A165" s="2"/>
      <c r="C165" s="1"/>
      <c r="D165" s="2"/>
      <c r="E165" s="2"/>
      <c r="F165"/>
    </row>
    <row r="166" spans="1:6" ht="15.6" x14ac:dyDescent="0.3">
      <c r="A166" s="34"/>
      <c r="C166" s="1"/>
      <c r="D166" s="2"/>
      <c r="E166" s="2"/>
      <c r="F166"/>
    </row>
    <row r="167" spans="1:6" ht="15.6" x14ac:dyDescent="0.3">
      <c r="A167" s="35"/>
      <c r="C167" s="36"/>
      <c r="D167" s="2"/>
      <c r="E167" s="2"/>
      <c r="F167"/>
    </row>
    <row r="168" spans="1:6" ht="15.6" x14ac:dyDescent="0.3">
      <c r="A168" s="37"/>
      <c r="C168" s="1"/>
      <c r="D168" s="2"/>
      <c r="E168" s="2"/>
    </row>
    <row r="169" spans="1:6" ht="15.6" x14ac:dyDescent="0.3">
      <c r="A169" s="2"/>
      <c r="C169" s="1"/>
      <c r="D169" s="2"/>
      <c r="E169" s="2"/>
      <c r="F169"/>
    </row>
    <row r="170" spans="1:6" ht="15.6" x14ac:dyDescent="0.3">
      <c r="A170" s="34"/>
      <c r="C170" s="1"/>
      <c r="D170" s="2"/>
      <c r="E170" s="2"/>
      <c r="F170"/>
    </row>
    <row r="171" spans="1:6" ht="15.6" x14ac:dyDescent="0.3">
      <c r="A171" s="35"/>
      <c r="C171" s="1"/>
      <c r="D171" s="2"/>
      <c r="E171" s="2"/>
      <c r="F171"/>
    </row>
    <row r="172" spans="1:6" ht="15.6" x14ac:dyDescent="0.3">
      <c r="A172" s="37"/>
      <c r="C172" s="3"/>
      <c r="D172" s="39"/>
      <c r="E172" s="2"/>
      <c r="F172"/>
    </row>
    <row r="173" spans="1:6" ht="15.6" x14ac:dyDescent="0.3">
      <c r="A173" s="2"/>
      <c r="C173" s="1"/>
      <c r="D173" s="39"/>
      <c r="E173" s="2"/>
    </row>
    <row r="174" spans="1:6" ht="15.6" x14ac:dyDescent="0.3">
      <c r="A174" s="34"/>
      <c r="C174" s="1"/>
      <c r="D174" s="2"/>
      <c r="E174" s="2"/>
      <c r="F174"/>
    </row>
    <row r="175" spans="1:6" ht="15.6" x14ac:dyDescent="0.3">
      <c r="A175" s="35"/>
      <c r="C175" s="1"/>
      <c r="D175" s="2"/>
      <c r="E175" s="2"/>
      <c r="F175"/>
    </row>
    <row r="176" spans="1:6" ht="15.6" x14ac:dyDescent="0.3">
      <c r="A176" s="35"/>
      <c r="C176" s="1"/>
      <c r="D176" s="2"/>
      <c r="E176" s="2"/>
      <c r="F176"/>
    </row>
    <row r="177" spans="1:6" ht="15.6" x14ac:dyDescent="0.3">
      <c r="A177" s="35"/>
      <c r="C177" s="1"/>
      <c r="D177" s="2"/>
      <c r="E177" s="2"/>
    </row>
    <row r="178" spans="1:6" ht="15.6" x14ac:dyDescent="0.3">
      <c r="A178" s="35"/>
      <c r="C178" s="1"/>
      <c r="D178" s="2"/>
      <c r="E178" s="2"/>
      <c r="F178"/>
    </row>
    <row r="179" spans="1:6" ht="15.6" x14ac:dyDescent="0.3">
      <c r="A179" s="35"/>
      <c r="C179" s="1"/>
      <c r="D179" s="2"/>
      <c r="E179" s="2"/>
      <c r="F179"/>
    </row>
    <row r="180" spans="1:6" ht="15.6" x14ac:dyDescent="0.3">
      <c r="A180" s="35"/>
      <c r="C180" s="1"/>
      <c r="D180" s="39"/>
      <c r="E180" s="2"/>
    </row>
    <row r="181" spans="1:6" ht="15.6" x14ac:dyDescent="0.3">
      <c r="A181" s="35"/>
      <c r="C181" s="1"/>
      <c r="D181" s="2"/>
      <c r="E181" s="2"/>
    </row>
    <row r="182" spans="1:6" ht="15.6" x14ac:dyDescent="0.3">
      <c r="A182" s="37"/>
      <c r="C182" s="36"/>
      <c r="D182" s="2"/>
      <c r="E182" s="2"/>
      <c r="F182"/>
    </row>
    <row r="183" spans="1:6" ht="15.6" x14ac:dyDescent="0.3">
      <c r="A183" s="2"/>
      <c r="C183" s="3"/>
      <c r="D183" s="2"/>
      <c r="E183" s="2"/>
      <c r="F183"/>
    </row>
    <row r="184" spans="1:6" ht="15.6" x14ac:dyDescent="0.3">
      <c r="A184" s="38"/>
      <c r="C184" s="1"/>
      <c r="D184" s="2"/>
      <c r="E184" s="2"/>
      <c r="F184"/>
    </row>
    <row r="185" spans="1:6" ht="15.6" x14ac:dyDescent="0.3">
      <c r="A185" s="2"/>
      <c r="C185" s="1"/>
      <c r="D185" s="2"/>
      <c r="E185" s="2"/>
      <c r="F185"/>
    </row>
    <row r="186" spans="1:6" ht="15.6" x14ac:dyDescent="0.3">
      <c r="A186" s="34"/>
      <c r="C186" s="36"/>
      <c r="D186" s="2"/>
      <c r="E186" s="2"/>
      <c r="F186"/>
    </row>
    <row r="187" spans="1:6" ht="15.6" x14ac:dyDescent="0.3">
      <c r="A187" s="35"/>
      <c r="C187" s="1"/>
      <c r="D187" s="39"/>
      <c r="E187" s="2"/>
    </row>
    <row r="188" spans="1:6" ht="15.6" x14ac:dyDescent="0.3">
      <c r="A188" s="35"/>
      <c r="C188" s="1"/>
      <c r="D188" s="2"/>
      <c r="E188" s="2"/>
    </row>
    <row r="189" spans="1:6" ht="15.6" x14ac:dyDescent="0.3">
      <c r="A189" s="35"/>
      <c r="C189" s="1"/>
      <c r="D189" s="2"/>
      <c r="E189" s="2"/>
      <c r="F189"/>
    </row>
    <row r="190" spans="1:6" ht="15.6" x14ac:dyDescent="0.3">
      <c r="A190" s="35"/>
      <c r="C190" s="1"/>
      <c r="D190" s="2"/>
      <c r="E190" s="2"/>
      <c r="F190"/>
    </row>
    <row r="191" spans="1:6" ht="15.6" x14ac:dyDescent="0.3">
      <c r="A191" s="37"/>
      <c r="C191" s="1"/>
      <c r="D191" s="2"/>
      <c r="E191" s="2"/>
      <c r="F191"/>
    </row>
    <row r="192" spans="1:6" ht="15.6" x14ac:dyDescent="0.3">
      <c r="A192" s="2"/>
      <c r="C192" s="1"/>
      <c r="D192" s="2"/>
      <c r="E192" s="2"/>
      <c r="F192"/>
    </row>
    <row r="193" spans="1:6" ht="15.6" x14ac:dyDescent="0.3">
      <c r="A193" s="34"/>
      <c r="C193" s="1"/>
      <c r="D193" s="39"/>
      <c r="E193" s="2"/>
    </row>
    <row r="194" spans="1:6" ht="15.6" x14ac:dyDescent="0.3">
      <c r="A194" s="37"/>
      <c r="C194" s="1"/>
      <c r="D194" s="39"/>
      <c r="E194" s="2"/>
    </row>
    <row r="195" spans="1:6" ht="15.6" x14ac:dyDescent="0.3">
      <c r="A195" s="2"/>
      <c r="C195" s="1"/>
      <c r="D195" s="39"/>
      <c r="E195" s="2"/>
    </row>
    <row r="196" spans="1:6" ht="15.6" x14ac:dyDescent="0.3">
      <c r="A196" s="2"/>
      <c r="C196" s="1"/>
      <c r="D196" s="39"/>
      <c r="E196" s="2"/>
      <c r="F196"/>
    </row>
    <row r="197" spans="1:6" ht="15.6" x14ac:dyDescent="0.3">
      <c r="A197" s="2"/>
      <c r="C197" s="1"/>
      <c r="D197" s="2"/>
      <c r="E197" s="2"/>
      <c r="F197"/>
    </row>
    <row r="198" spans="1:6" ht="15.6" x14ac:dyDescent="0.3">
      <c r="A198" s="2"/>
      <c r="C198" s="1"/>
      <c r="D198" s="39"/>
      <c r="E198" s="2"/>
    </row>
    <row r="199" spans="1:6" ht="15.6" x14ac:dyDescent="0.3">
      <c r="E199" s="2"/>
    </row>
  </sheetData>
  <sortState xmlns:xlrd2="http://schemas.microsoft.com/office/spreadsheetml/2017/richdata2" ref="A1:G19">
    <sortCondition descending="1" ref="G1:G19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ódulo1.Ejecutarconsultar_handicap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7620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brirSorteoEnOpera">
                <anchor moveWithCells="1" siz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7620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716C7-9158-4287-9CC9-4739D42335BA}">
  <sheetPr codeName="Hoja3"/>
  <dimension ref="A1:Q45"/>
  <sheetViews>
    <sheetView zoomScale="110" zoomScaleNormal="110" workbookViewId="0">
      <pane ySplit="1" topLeftCell="A25" activePane="bottomLeft" state="frozen"/>
      <selection pane="bottomLeft" activeCell="R29" sqref="R29"/>
    </sheetView>
  </sheetViews>
  <sheetFormatPr baseColWidth="10" defaultColWidth="11.44140625" defaultRowHeight="14.4" x14ac:dyDescent="0.3"/>
  <cols>
    <col min="1" max="1" width="3.44140625" customWidth="1"/>
    <col min="2" max="2" width="7.44140625" bestFit="1" customWidth="1"/>
    <col min="3" max="3" width="18.77734375" customWidth="1"/>
    <col min="4" max="4" width="19.77734375" bestFit="1" customWidth="1"/>
    <col min="5" max="5" width="7.44140625" bestFit="1" customWidth="1"/>
    <col min="6" max="6" width="7.77734375" bestFit="1" customWidth="1"/>
    <col min="7" max="7" width="7.44140625" bestFit="1" customWidth="1"/>
    <col min="8" max="8" width="4.33203125" hidden="1" customWidth="1"/>
    <col min="9" max="9" width="4.5546875" bestFit="1" customWidth="1"/>
    <col min="10" max="10" width="6.44140625" customWidth="1"/>
    <col min="11" max="11" width="7.21875" customWidth="1"/>
    <col min="12" max="12" width="8.77734375" bestFit="1" customWidth="1"/>
    <col min="13" max="13" width="9.6640625" customWidth="1"/>
    <col min="14" max="14" width="9.21875" customWidth="1"/>
    <col min="17" max="17" width="1.77734375" customWidth="1"/>
  </cols>
  <sheetData>
    <row r="1" spans="1:17" ht="15.6" x14ac:dyDescent="0.3">
      <c r="B1" s="6" t="s">
        <v>2</v>
      </c>
      <c r="C1" s="6" t="s">
        <v>3</v>
      </c>
      <c r="D1" s="6" t="s">
        <v>4</v>
      </c>
      <c r="E1" s="8" t="s">
        <v>5</v>
      </c>
      <c r="F1" s="6" t="s">
        <v>6</v>
      </c>
      <c r="G1" s="6" t="s">
        <v>7</v>
      </c>
      <c r="H1" s="6" t="s">
        <v>373</v>
      </c>
      <c r="I1" s="6" t="s">
        <v>374</v>
      </c>
      <c r="J1" s="6" t="s">
        <v>382</v>
      </c>
      <c r="K1" s="6" t="s">
        <v>383</v>
      </c>
      <c r="L1" s="6" t="s">
        <v>473</v>
      </c>
      <c r="M1" s="6" t="s">
        <v>385</v>
      </c>
      <c r="N1" s="6" t="s">
        <v>474</v>
      </c>
      <c r="O1" s="6"/>
      <c r="P1" s="6"/>
    </row>
    <row r="2" spans="1:17" ht="15.45" customHeight="1" x14ac:dyDescent="0.3">
      <c r="A2" s="320" t="s">
        <v>375</v>
      </c>
      <c r="B2" s="155">
        <v>12531</v>
      </c>
      <c r="C2" s="14" t="s">
        <v>366</v>
      </c>
      <c r="D2" s="14" t="s">
        <v>367</v>
      </c>
      <c r="E2" s="152">
        <v>3.7</v>
      </c>
      <c r="F2" s="150" t="s">
        <v>377</v>
      </c>
      <c r="G2" s="151">
        <v>2</v>
      </c>
      <c r="H2" s="316">
        <v>0</v>
      </c>
      <c r="I2" s="321">
        <v>1</v>
      </c>
      <c r="J2" s="87"/>
      <c r="K2" s="45"/>
      <c r="L2" s="45"/>
      <c r="M2" s="45"/>
      <c r="N2" s="45"/>
    </row>
    <row r="3" spans="1:17" ht="15.45" customHeight="1" x14ac:dyDescent="0.3">
      <c r="A3" s="320"/>
      <c r="B3" s="155">
        <v>20941</v>
      </c>
      <c r="C3" s="14" t="s">
        <v>105</v>
      </c>
      <c r="D3" s="14" t="s">
        <v>106</v>
      </c>
      <c r="E3" s="152">
        <v>5.0999999999999996</v>
      </c>
      <c r="F3" s="150" t="s">
        <v>377</v>
      </c>
      <c r="G3" s="151">
        <v>4</v>
      </c>
      <c r="H3" s="316"/>
      <c r="I3" s="321"/>
      <c r="J3" s="87"/>
      <c r="K3" s="45"/>
      <c r="L3" s="45"/>
      <c r="M3" s="45"/>
      <c r="N3" s="45"/>
    </row>
    <row r="4" spans="1:17" ht="15.45" customHeight="1" x14ac:dyDescent="0.3">
      <c r="A4" s="320"/>
      <c r="B4" s="155">
        <v>13625</v>
      </c>
      <c r="C4" s="14" t="s">
        <v>222</v>
      </c>
      <c r="D4" s="14" t="s">
        <v>223</v>
      </c>
      <c r="E4" s="152">
        <v>9.6</v>
      </c>
      <c r="F4" s="150" t="s">
        <v>377</v>
      </c>
      <c r="G4" s="151">
        <v>9</v>
      </c>
      <c r="H4" s="316"/>
      <c r="I4" s="321"/>
      <c r="J4" s="87"/>
      <c r="K4" s="45"/>
      <c r="L4" s="45"/>
      <c r="M4" s="45"/>
      <c r="N4" s="45"/>
    </row>
    <row r="5" spans="1:17" ht="15.45" customHeight="1" x14ac:dyDescent="0.3">
      <c r="A5" s="320"/>
      <c r="B5" s="155">
        <v>12724</v>
      </c>
      <c r="C5" s="14" t="s">
        <v>460</v>
      </c>
      <c r="D5" s="14" t="s">
        <v>246</v>
      </c>
      <c r="E5" s="152">
        <v>11.1</v>
      </c>
      <c r="F5" s="150" t="s">
        <v>377</v>
      </c>
      <c r="G5" s="151">
        <v>11</v>
      </c>
      <c r="H5" s="316"/>
      <c r="I5" s="321"/>
      <c r="J5" s="87"/>
      <c r="K5" s="45"/>
      <c r="L5" s="118"/>
      <c r="M5" s="58"/>
      <c r="N5" s="53"/>
      <c r="O5" s="114"/>
      <c r="P5" s="115"/>
      <c r="Q5" s="116"/>
    </row>
    <row r="6" spans="1:17" ht="15.45" customHeight="1" x14ac:dyDescent="0.3">
      <c r="A6" s="317" t="s">
        <v>376</v>
      </c>
      <c r="B6" s="156">
        <v>33424</v>
      </c>
      <c r="C6" s="44" t="s">
        <v>175</v>
      </c>
      <c r="D6" s="44" t="s">
        <v>176</v>
      </c>
      <c r="E6" s="154">
        <v>11.1</v>
      </c>
      <c r="F6" s="90" t="s">
        <v>377</v>
      </c>
      <c r="G6" s="153">
        <v>11</v>
      </c>
      <c r="H6" s="315">
        <v>1</v>
      </c>
      <c r="I6" s="325">
        <v>2</v>
      </c>
      <c r="J6" s="87"/>
      <c r="K6" s="45"/>
      <c r="L6" s="45"/>
      <c r="M6" s="45"/>
      <c r="N6" s="45"/>
    </row>
    <row r="7" spans="1:17" ht="15.45" customHeight="1" x14ac:dyDescent="0.3">
      <c r="A7" s="317"/>
      <c r="B7" s="156">
        <v>30087</v>
      </c>
      <c r="C7" s="44" t="s">
        <v>149</v>
      </c>
      <c r="D7" s="44" t="s">
        <v>150</v>
      </c>
      <c r="E7" s="154">
        <v>11.2</v>
      </c>
      <c r="F7" s="90" t="s">
        <v>377</v>
      </c>
      <c r="G7" s="153">
        <v>11</v>
      </c>
      <c r="H7" s="315"/>
      <c r="I7" s="325"/>
      <c r="J7" s="87"/>
      <c r="K7" s="45"/>
      <c r="L7" s="45"/>
      <c r="M7" s="45"/>
      <c r="N7" s="45"/>
    </row>
    <row r="8" spans="1:17" ht="15.45" customHeight="1" x14ac:dyDescent="0.3">
      <c r="A8" s="317"/>
      <c r="B8" s="156">
        <v>3616</v>
      </c>
      <c r="C8" s="44" t="s">
        <v>141</v>
      </c>
      <c r="D8" s="44" t="s">
        <v>142</v>
      </c>
      <c r="E8" s="154">
        <v>11.7</v>
      </c>
      <c r="F8" s="90" t="s">
        <v>377</v>
      </c>
      <c r="G8" s="153">
        <v>12</v>
      </c>
      <c r="H8" s="315"/>
      <c r="I8" s="325"/>
      <c r="J8" s="87"/>
      <c r="K8" s="45"/>
      <c r="L8" s="45"/>
      <c r="M8" s="45"/>
      <c r="N8" s="45"/>
    </row>
    <row r="9" spans="1:17" ht="15.45" customHeight="1" x14ac:dyDescent="0.3">
      <c r="A9" s="317"/>
      <c r="B9" s="156">
        <v>9446</v>
      </c>
      <c r="C9" s="44" t="s">
        <v>285</v>
      </c>
      <c r="D9" s="44" t="s">
        <v>286</v>
      </c>
      <c r="E9" s="154">
        <v>12.3</v>
      </c>
      <c r="F9" s="90" t="s">
        <v>377</v>
      </c>
      <c r="G9" s="153">
        <v>13</v>
      </c>
      <c r="H9" s="315"/>
      <c r="I9" s="325"/>
      <c r="J9" s="87"/>
      <c r="K9" s="45"/>
      <c r="L9" s="45"/>
      <c r="M9" s="45"/>
      <c r="N9" s="45"/>
    </row>
    <row r="10" spans="1:17" ht="15.45" customHeight="1" x14ac:dyDescent="0.3">
      <c r="A10" s="320" t="s">
        <v>379</v>
      </c>
      <c r="B10" s="155">
        <v>27435</v>
      </c>
      <c r="C10" s="14" t="s">
        <v>151</v>
      </c>
      <c r="D10" s="14" t="s">
        <v>152</v>
      </c>
      <c r="E10" s="152">
        <v>12.9</v>
      </c>
      <c r="F10" s="85" t="s">
        <v>377</v>
      </c>
      <c r="G10" s="151">
        <v>13</v>
      </c>
      <c r="H10" s="316">
        <v>0</v>
      </c>
      <c r="I10" s="322">
        <v>3</v>
      </c>
      <c r="J10" s="87"/>
      <c r="K10" s="45"/>
      <c r="L10" s="45"/>
      <c r="M10" s="92"/>
      <c r="N10" s="93"/>
    </row>
    <row r="11" spans="1:17" ht="15.45" customHeight="1" x14ac:dyDescent="0.3">
      <c r="A11" s="320"/>
      <c r="B11" s="155">
        <v>28225</v>
      </c>
      <c r="C11" s="14" t="s">
        <v>222</v>
      </c>
      <c r="D11" s="14" t="s">
        <v>233</v>
      </c>
      <c r="E11" s="152">
        <v>12.9</v>
      </c>
      <c r="F11" s="85" t="s">
        <v>377</v>
      </c>
      <c r="G11" s="151">
        <v>13</v>
      </c>
      <c r="H11" s="316"/>
      <c r="I11" s="322"/>
      <c r="J11" s="87"/>
      <c r="K11" s="45"/>
      <c r="L11" s="45"/>
      <c r="M11" s="45"/>
      <c r="N11" s="45"/>
    </row>
    <row r="12" spans="1:17" ht="15.45" customHeight="1" x14ac:dyDescent="0.3">
      <c r="A12" s="320"/>
      <c r="B12" s="155">
        <v>25160</v>
      </c>
      <c r="C12" s="14" t="s">
        <v>41</v>
      </c>
      <c r="D12" s="14" t="s">
        <v>42</v>
      </c>
      <c r="E12" s="152">
        <v>13.7</v>
      </c>
      <c r="F12" s="117" t="s">
        <v>377</v>
      </c>
      <c r="G12" s="151">
        <v>14</v>
      </c>
      <c r="H12" s="316"/>
      <c r="I12" s="322"/>
      <c r="J12" s="87"/>
      <c r="K12" s="45"/>
      <c r="L12" s="45"/>
      <c r="M12" s="45"/>
      <c r="N12" s="45"/>
    </row>
    <row r="13" spans="1:17" ht="15.45" customHeight="1" x14ac:dyDescent="0.3">
      <c r="A13" s="320"/>
      <c r="B13" s="155">
        <v>16501</v>
      </c>
      <c r="C13" s="14" t="s">
        <v>249</v>
      </c>
      <c r="D13" s="14" t="s">
        <v>250</v>
      </c>
      <c r="E13" s="152">
        <v>13.6</v>
      </c>
      <c r="F13" s="85" t="s">
        <v>377</v>
      </c>
      <c r="G13" s="151">
        <v>14</v>
      </c>
      <c r="H13" s="316"/>
      <c r="I13" s="322"/>
      <c r="J13" s="87"/>
      <c r="K13" s="45"/>
      <c r="L13" s="45"/>
      <c r="M13" s="45"/>
      <c r="N13" s="45"/>
    </row>
    <row r="14" spans="1:17" ht="15.45" customHeight="1" x14ac:dyDescent="0.3">
      <c r="A14" s="317" t="s">
        <v>519</v>
      </c>
      <c r="B14" s="156">
        <v>4080</v>
      </c>
      <c r="C14" s="44" t="s">
        <v>191</v>
      </c>
      <c r="D14" s="44" t="s">
        <v>106</v>
      </c>
      <c r="E14" s="154">
        <v>14.5</v>
      </c>
      <c r="F14" s="90" t="s">
        <v>377</v>
      </c>
      <c r="G14" s="153">
        <v>15</v>
      </c>
      <c r="H14" s="315">
        <v>1</v>
      </c>
      <c r="I14" s="325">
        <v>4</v>
      </c>
      <c r="J14" s="87"/>
      <c r="K14" s="45"/>
      <c r="L14" s="45"/>
      <c r="M14" s="45"/>
      <c r="N14" s="45"/>
    </row>
    <row r="15" spans="1:17" ht="15.45" customHeight="1" x14ac:dyDescent="0.3">
      <c r="A15" s="317"/>
      <c r="B15" s="156">
        <v>14084</v>
      </c>
      <c r="C15" s="44" t="s">
        <v>39</v>
      </c>
      <c r="D15" s="44" t="s">
        <v>40</v>
      </c>
      <c r="E15" s="154">
        <v>14.6</v>
      </c>
      <c r="F15" s="90" t="s">
        <v>377</v>
      </c>
      <c r="G15" s="153">
        <v>16</v>
      </c>
      <c r="H15" s="315"/>
      <c r="I15" s="325"/>
      <c r="J15" s="87"/>
      <c r="K15" s="45"/>
      <c r="L15" s="45"/>
      <c r="M15" s="45"/>
      <c r="N15" s="45"/>
    </row>
    <row r="16" spans="1:17" ht="15.45" customHeight="1" x14ac:dyDescent="0.3">
      <c r="A16" s="317"/>
      <c r="B16" s="156">
        <v>14715</v>
      </c>
      <c r="C16" s="44" t="s">
        <v>339</v>
      </c>
      <c r="D16" s="44" t="s">
        <v>340</v>
      </c>
      <c r="E16" s="154">
        <v>13.1</v>
      </c>
      <c r="F16" s="90" t="s">
        <v>573</v>
      </c>
      <c r="G16" s="153">
        <v>16</v>
      </c>
      <c r="H16" s="315"/>
      <c r="I16" s="325"/>
      <c r="J16" s="87"/>
      <c r="K16" s="45"/>
      <c r="L16" s="45"/>
      <c r="M16" s="45"/>
      <c r="N16" s="45"/>
    </row>
    <row r="17" spans="1:14" ht="15.45" customHeight="1" x14ac:dyDescent="0.3">
      <c r="A17" s="317"/>
      <c r="B17" s="156">
        <v>30101</v>
      </c>
      <c r="C17" s="44" t="s">
        <v>341</v>
      </c>
      <c r="D17" s="44" t="s">
        <v>342</v>
      </c>
      <c r="E17" s="154">
        <v>14.8</v>
      </c>
      <c r="F17" s="90" t="s">
        <v>377</v>
      </c>
      <c r="G17" s="153">
        <v>16</v>
      </c>
      <c r="H17" s="315"/>
      <c r="I17" s="325"/>
      <c r="J17" s="87"/>
      <c r="K17" s="45"/>
      <c r="L17" s="45"/>
      <c r="M17" s="45"/>
      <c r="N17" s="45"/>
    </row>
    <row r="18" spans="1:14" ht="15.45" customHeight="1" x14ac:dyDescent="0.3">
      <c r="A18" s="320" t="s">
        <v>541</v>
      </c>
      <c r="B18" s="84">
        <v>27116</v>
      </c>
      <c r="C18" s="13" t="s">
        <v>355</v>
      </c>
      <c r="D18" s="14" t="s">
        <v>356</v>
      </c>
      <c r="E18" s="108">
        <v>15.2</v>
      </c>
      <c r="F18" s="85" t="s">
        <v>377</v>
      </c>
      <c r="G18" s="109">
        <v>16</v>
      </c>
      <c r="H18" s="316">
        <v>2</v>
      </c>
      <c r="I18" s="322">
        <v>5</v>
      </c>
      <c r="J18" s="87"/>
      <c r="K18" s="45"/>
      <c r="L18" s="45"/>
      <c r="M18" s="45"/>
      <c r="N18" s="45"/>
    </row>
    <row r="19" spans="1:14" ht="15.45" customHeight="1" x14ac:dyDescent="0.3">
      <c r="A19" s="320"/>
      <c r="B19" s="84">
        <v>19187</v>
      </c>
      <c r="C19" s="13" t="s">
        <v>328</v>
      </c>
      <c r="D19" s="14" t="s">
        <v>200</v>
      </c>
      <c r="E19" s="108">
        <v>15.3</v>
      </c>
      <c r="F19" s="85" t="s">
        <v>377</v>
      </c>
      <c r="G19" s="109">
        <v>16</v>
      </c>
      <c r="H19" s="316"/>
      <c r="I19" s="322"/>
      <c r="J19" s="87"/>
      <c r="K19" s="45"/>
      <c r="L19" s="45"/>
      <c r="M19" s="45"/>
      <c r="N19" s="45"/>
    </row>
    <row r="20" spans="1:14" ht="15.45" customHeight="1" x14ac:dyDescent="0.3">
      <c r="A20" s="320"/>
      <c r="B20" s="84">
        <v>20408</v>
      </c>
      <c r="C20" s="13" t="s">
        <v>302</v>
      </c>
      <c r="D20" s="14" t="s">
        <v>303</v>
      </c>
      <c r="E20" s="108">
        <v>15.1</v>
      </c>
      <c r="F20" s="117" t="s">
        <v>377</v>
      </c>
      <c r="G20" s="109">
        <v>16</v>
      </c>
      <c r="H20" s="316"/>
      <c r="I20" s="322"/>
      <c r="J20" s="87"/>
      <c r="K20" s="45"/>
      <c r="L20" s="45"/>
      <c r="M20" s="45"/>
      <c r="N20" s="45"/>
    </row>
    <row r="21" spans="1:14" ht="15.45" customHeight="1" x14ac:dyDescent="0.3">
      <c r="A21" s="320"/>
      <c r="B21" s="84">
        <v>3936</v>
      </c>
      <c r="C21" s="13" t="s">
        <v>462</v>
      </c>
      <c r="D21" s="14" t="s">
        <v>570</v>
      </c>
      <c r="E21" s="14">
        <v>18.2</v>
      </c>
      <c r="F21" s="85" t="s">
        <v>378</v>
      </c>
      <c r="G21" s="98">
        <v>18</v>
      </c>
      <c r="H21" s="316"/>
      <c r="I21" s="322"/>
      <c r="J21" s="87"/>
      <c r="K21" s="45"/>
      <c r="L21" s="45"/>
      <c r="M21" s="45"/>
      <c r="N21" s="45"/>
    </row>
    <row r="22" spans="1:14" ht="15.45" customHeight="1" x14ac:dyDescent="0.3">
      <c r="A22" s="317" t="s">
        <v>542</v>
      </c>
      <c r="B22" s="89">
        <v>17043</v>
      </c>
      <c r="C22" s="43" t="s">
        <v>118</v>
      </c>
      <c r="D22" s="44" t="s">
        <v>119</v>
      </c>
      <c r="E22" s="44">
        <v>18.7</v>
      </c>
      <c r="F22" s="90" t="s">
        <v>378</v>
      </c>
      <c r="G22" s="99">
        <v>18</v>
      </c>
      <c r="H22" s="315">
        <v>0</v>
      </c>
      <c r="I22" s="325">
        <v>6</v>
      </c>
      <c r="J22" s="87"/>
      <c r="K22" s="45"/>
      <c r="L22" s="45"/>
      <c r="M22" s="45"/>
      <c r="N22" s="45"/>
    </row>
    <row r="23" spans="1:14" ht="15.45" customHeight="1" x14ac:dyDescent="0.3">
      <c r="A23" s="317"/>
      <c r="B23" s="89">
        <v>34332</v>
      </c>
      <c r="C23" s="43" t="s">
        <v>157</v>
      </c>
      <c r="D23" s="44" t="s">
        <v>158</v>
      </c>
      <c r="E23" s="44">
        <v>17</v>
      </c>
      <c r="F23" s="90" t="s">
        <v>377</v>
      </c>
      <c r="G23" s="99">
        <v>18</v>
      </c>
      <c r="H23" s="315"/>
      <c r="I23" s="325"/>
      <c r="J23" s="87"/>
      <c r="K23" s="45"/>
      <c r="L23" s="45"/>
      <c r="M23" s="45"/>
      <c r="N23" s="45"/>
    </row>
    <row r="24" spans="1:14" ht="15.45" customHeight="1" x14ac:dyDescent="0.3">
      <c r="A24" s="317"/>
      <c r="B24" s="89">
        <v>21865</v>
      </c>
      <c r="C24" s="43" t="s">
        <v>107</v>
      </c>
      <c r="D24" s="44" t="s">
        <v>108</v>
      </c>
      <c r="E24" s="44">
        <v>16.8</v>
      </c>
      <c r="F24" s="90" t="s">
        <v>377</v>
      </c>
      <c r="G24" s="99">
        <v>18</v>
      </c>
      <c r="H24" s="315"/>
      <c r="I24" s="325"/>
      <c r="J24" s="87"/>
      <c r="K24" s="45"/>
      <c r="L24" s="45"/>
      <c r="M24" s="45"/>
      <c r="N24" s="45"/>
    </row>
    <row r="25" spans="1:14" ht="15.45" customHeight="1" x14ac:dyDescent="0.3">
      <c r="A25" s="317"/>
      <c r="B25" s="89"/>
      <c r="C25" s="43" t="s">
        <v>589</v>
      </c>
      <c r="D25" s="44" t="s">
        <v>590</v>
      </c>
      <c r="E25" s="44"/>
      <c r="F25" s="90" t="s">
        <v>378</v>
      </c>
      <c r="G25" s="100"/>
      <c r="H25" s="315"/>
      <c r="I25" s="325"/>
      <c r="J25" s="87"/>
      <c r="K25" s="45"/>
      <c r="L25" s="45"/>
      <c r="M25" s="45"/>
      <c r="N25" s="45"/>
    </row>
    <row r="26" spans="1:14" ht="15.45" customHeight="1" x14ac:dyDescent="0.3">
      <c r="A26" s="320" t="s">
        <v>379</v>
      </c>
      <c r="B26" s="84">
        <v>15107</v>
      </c>
      <c r="C26" s="13" t="s">
        <v>153</v>
      </c>
      <c r="D26" s="14" t="s">
        <v>154</v>
      </c>
      <c r="E26" s="14">
        <v>16.7</v>
      </c>
      <c r="F26" s="85" t="s">
        <v>377</v>
      </c>
      <c r="G26" s="98">
        <v>18</v>
      </c>
      <c r="H26" s="86">
        <v>1</v>
      </c>
      <c r="I26" s="323">
        <v>7</v>
      </c>
      <c r="J26" s="87"/>
      <c r="K26" s="45"/>
      <c r="L26" s="45"/>
      <c r="M26" s="45"/>
      <c r="N26" s="45"/>
    </row>
    <row r="27" spans="1:14" ht="15.45" customHeight="1" x14ac:dyDescent="0.3">
      <c r="A27" s="320"/>
      <c r="B27" s="84">
        <v>7891</v>
      </c>
      <c r="C27" s="13" t="s">
        <v>220</v>
      </c>
      <c r="D27" s="14" t="s">
        <v>221</v>
      </c>
      <c r="E27" s="14">
        <v>19</v>
      </c>
      <c r="F27" s="85" t="s">
        <v>378</v>
      </c>
      <c r="G27" s="86">
        <v>19</v>
      </c>
      <c r="H27" s="86"/>
      <c r="I27" s="324"/>
      <c r="J27" s="87"/>
      <c r="K27" s="45"/>
      <c r="L27" s="45"/>
      <c r="M27" s="45"/>
      <c r="N27" s="45"/>
    </row>
    <row r="28" spans="1:14" ht="15.45" customHeight="1" x14ac:dyDescent="0.3">
      <c r="A28" s="320"/>
      <c r="B28" s="84">
        <v>32142</v>
      </c>
      <c r="C28" s="13" t="s">
        <v>47</v>
      </c>
      <c r="D28" s="14" t="s">
        <v>48</v>
      </c>
      <c r="E28" s="108">
        <v>19.399999999999999</v>
      </c>
      <c r="F28" s="85" t="s">
        <v>378</v>
      </c>
      <c r="G28" s="98">
        <v>19</v>
      </c>
      <c r="H28" s="88"/>
      <c r="I28" s="324"/>
      <c r="J28" s="87"/>
      <c r="K28" s="45"/>
      <c r="L28" s="45"/>
      <c r="M28" s="45"/>
      <c r="N28" s="45"/>
    </row>
    <row r="29" spans="1:14" ht="15.45" customHeight="1" x14ac:dyDescent="0.3">
      <c r="A29" s="320"/>
      <c r="B29" s="84">
        <v>14824</v>
      </c>
      <c r="C29" s="13" t="s">
        <v>364</v>
      </c>
      <c r="D29" s="14" t="s">
        <v>365</v>
      </c>
      <c r="E29" s="108">
        <v>19</v>
      </c>
      <c r="F29" s="85" t="s">
        <v>378</v>
      </c>
      <c r="G29" s="109">
        <v>19</v>
      </c>
      <c r="H29" s="86"/>
      <c r="I29" s="324"/>
      <c r="J29" s="87"/>
      <c r="K29" s="45"/>
      <c r="L29" s="45"/>
      <c r="M29" s="45"/>
      <c r="N29" s="45"/>
    </row>
    <row r="30" spans="1:14" ht="15.45" customHeight="1" x14ac:dyDescent="0.3">
      <c r="A30" s="317" t="s">
        <v>519</v>
      </c>
      <c r="B30" s="89">
        <v>24768</v>
      </c>
      <c r="C30" s="43" t="s">
        <v>73</v>
      </c>
      <c r="D30" s="44" t="s">
        <v>74</v>
      </c>
      <c r="E30" s="44">
        <v>19.5</v>
      </c>
      <c r="F30" s="90" t="s">
        <v>378</v>
      </c>
      <c r="G30" s="99">
        <v>19</v>
      </c>
      <c r="H30" s="91">
        <v>1</v>
      </c>
      <c r="I30" s="318">
        <v>8</v>
      </c>
      <c r="J30" s="87"/>
      <c r="K30" s="45"/>
      <c r="L30" s="45"/>
      <c r="M30" s="45"/>
      <c r="N30" s="45"/>
    </row>
    <row r="31" spans="1:14" ht="15.45" customHeight="1" x14ac:dyDescent="0.3">
      <c r="A31" s="317"/>
      <c r="B31" s="89">
        <v>30572</v>
      </c>
      <c r="C31" s="43" t="s">
        <v>225</v>
      </c>
      <c r="D31" s="44" t="s">
        <v>226</v>
      </c>
      <c r="E31" s="44">
        <v>20.2</v>
      </c>
      <c r="F31" s="90" t="s">
        <v>378</v>
      </c>
      <c r="G31" s="99">
        <v>20</v>
      </c>
      <c r="H31" s="91"/>
      <c r="I31" s="319"/>
      <c r="J31" s="87"/>
      <c r="K31" s="45"/>
      <c r="L31" s="45"/>
      <c r="M31" s="45"/>
      <c r="N31" s="45"/>
    </row>
    <row r="32" spans="1:14" ht="15.45" customHeight="1" x14ac:dyDescent="0.3">
      <c r="A32" s="317"/>
      <c r="B32" s="89">
        <v>38600</v>
      </c>
      <c r="C32" s="43" t="s">
        <v>571</v>
      </c>
      <c r="D32" s="44" t="s">
        <v>161</v>
      </c>
      <c r="E32" s="44">
        <v>20.5</v>
      </c>
      <c r="F32" s="90" t="s">
        <v>378</v>
      </c>
      <c r="G32" s="99">
        <v>20</v>
      </c>
      <c r="H32" s="88"/>
      <c r="I32" s="319"/>
      <c r="J32" s="87"/>
      <c r="K32" s="45"/>
      <c r="L32" s="45"/>
      <c r="M32" s="45"/>
      <c r="N32" s="45"/>
    </row>
    <row r="33" spans="1:14" ht="15.45" customHeight="1" x14ac:dyDescent="0.3">
      <c r="A33" s="317"/>
      <c r="B33" s="89">
        <v>31818</v>
      </c>
      <c r="C33" s="43" t="s">
        <v>235</v>
      </c>
      <c r="D33" s="44" t="s">
        <v>236</v>
      </c>
      <c r="E33" s="44">
        <v>17.899999999999999</v>
      </c>
      <c r="F33" s="90" t="s">
        <v>377</v>
      </c>
      <c r="G33" s="100">
        <v>20</v>
      </c>
      <c r="H33" s="91"/>
      <c r="I33" s="319"/>
      <c r="J33" s="87"/>
      <c r="K33" s="45"/>
      <c r="L33" s="45"/>
      <c r="M33" s="45"/>
      <c r="N33" s="45"/>
    </row>
    <row r="34" spans="1:14" ht="15.45" customHeight="1" x14ac:dyDescent="0.3">
      <c r="B34" s="213">
        <v>30377</v>
      </c>
      <c r="C34" s="213" t="s">
        <v>72</v>
      </c>
      <c r="D34" s="213" t="s">
        <v>71</v>
      </c>
      <c r="E34" s="213">
        <v>21</v>
      </c>
      <c r="F34" s="213" t="s">
        <v>378</v>
      </c>
      <c r="G34" s="213">
        <v>21</v>
      </c>
      <c r="H34" s="213">
        <v>2</v>
      </c>
      <c r="I34" s="213">
        <v>9</v>
      </c>
      <c r="J34" s="213"/>
    </row>
    <row r="35" spans="1:14" ht="15.45" customHeight="1" x14ac:dyDescent="0.3">
      <c r="B35" s="213">
        <v>32182</v>
      </c>
      <c r="C35" s="213" t="s">
        <v>188</v>
      </c>
      <c r="D35" s="213" t="s">
        <v>189</v>
      </c>
      <c r="E35" s="213">
        <v>22.1</v>
      </c>
      <c r="F35" s="213" t="s">
        <v>378</v>
      </c>
      <c r="G35" s="213">
        <v>22</v>
      </c>
      <c r="H35" s="213"/>
      <c r="I35" s="213">
        <v>9</v>
      </c>
      <c r="J35" s="213"/>
    </row>
    <row r="36" spans="1:14" ht="15.45" customHeight="1" x14ac:dyDescent="0.3">
      <c r="B36" s="213">
        <v>22617</v>
      </c>
      <c r="C36" s="213" t="s">
        <v>326</v>
      </c>
      <c r="D36" s="213" t="s">
        <v>327</v>
      </c>
      <c r="E36" s="213">
        <v>17.7</v>
      </c>
      <c r="F36" s="213" t="s">
        <v>573</v>
      </c>
      <c r="G36" s="213">
        <v>22</v>
      </c>
      <c r="H36" s="213"/>
      <c r="I36" s="213">
        <v>9</v>
      </c>
      <c r="J36" s="213"/>
    </row>
    <row r="37" spans="1:14" ht="15.45" customHeight="1" x14ac:dyDescent="0.3">
      <c r="B37" s="213">
        <v>28433</v>
      </c>
      <c r="C37" s="213" t="s">
        <v>353</v>
      </c>
      <c r="D37" s="213" t="s">
        <v>354</v>
      </c>
      <c r="E37" s="213">
        <v>24.2</v>
      </c>
      <c r="F37" s="213" t="s">
        <v>378</v>
      </c>
      <c r="G37" s="213">
        <v>25</v>
      </c>
      <c r="H37" s="213"/>
      <c r="I37" s="213">
        <v>9</v>
      </c>
      <c r="J37" s="213"/>
    </row>
    <row r="38" spans="1:14" ht="15.45" customHeight="1" x14ac:dyDescent="0.3">
      <c r="B38" s="213">
        <v>33116</v>
      </c>
      <c r="C38" s="213" t="s">
        <v>195</v>
      </c>
      <c r="D38" s="213" t="s">
        <v>196</v>
      </c>
      <c r="E38" s="213">
        <v>24.6</v>
      </c>
      <c r="F38" s="213" t="s">
        <v>378</v>
      </c>
      <c r="G38" s="213">
        <v>25</v>
      </c>
      <c r="H38" s="213">
        <v>0</v>
      </c>
      <c r="I38" s="213">
        <v>10</v>
      </c>
      <c r="J38" s="213"/>
    </row>
    <row r="39" spans="1:14" ht="15.45" customHeight="1" x14ac:dyDescent="0.3">
      <c r="B39" s="213">
        <v>18861</v>
      </c>
      <c r="C39" s="213" t="s">
        <v>351</v>
      </c>
      <c r="D39" s="213" t="s">
        <v>352</v>
      </c>
      <c r="E39" s="213">
        <v>21.6</v>
      </c>
      <c r="F39" s="213" t="s">
        <v>573</v>
      </c>
      <c r="G39" s="213">
        <v>26</v>
      </c>
      <c r="H39" s="213"/>
      <c r="I39" s="213">
        <v>10</v>
      </c>
      <c r="J39" s="213"/>
    </row>
    <row r="40" spans="1:14" ht="15.45" customHeight="1" x14ac:dyDescent="0.3">
      <c r="B40" s="213">
        <v>37787</v>
      </c>
      <c r="C40" s="213" t="s">
        <v>574</v>
      </c>
      <c r="D40" s="213" t="s">
        <v>575</v>
      </c>
      <c r="E40" s="213">
        <v>27.1</v>
      </c>
      <c r="F40" s="213" t="s">
        <v>378</v>
      </c>
      <c r="G40" s="213">
        <v>28</v>
      </c>
      <c r="H40" s="213"/>
      <c r="I40" s="213">
        <v>10</v>
      </c>
      <c r="J40" s="213"/>
    </row>
    <row r="41" spans="1:14" ht="15.45" customHeight="1" x14ac:dyDescent="0.3">
      <c r="B41" s="213">
        <v>27233</v>
      </c>
      <c r="C41" s="213" t="s">
        <v>193</v>
      </c>
      <c r="D41" s="213" t="s">
        <v>194</v>
      </c>
      <c r="E41" s="213">
        <v>28.1</v>
      </c>
      <c r="F41" s="213" t="s">
        <v>378</v>
      </c>
      <c r="G41" s="213">
        <v>29</v>
      </c>
      <c r="H41" s="213"/>
      <c r="I41" s="213">
        <v>10</v>
      </c>
      <c r="J41" s="213"/>
    </row>
    <row r="42" spans="1:14" ht="15.45" customHeight="1" x14ac:dyDescent="0.3">
      <c r="B42" s="213">
        <v>17558</v>
      </c>
      <c r="C42" s="213" t="s">
        <v>333</v>
      </c>
      <c r="D42" s="213" t="s">
        <v>471</v>
      </c>
      <c r="E42" s="213">
        <v>30.2</v>
      </c>
      <c r="F42" s="213" t="s">
        <v>378</v>
      </c>
      <c r="G42" s="213">
        <v>31</v>
      </c>
      <c r="H42" s="213">
        <v>0</v>
      </c>
      <c r="I42" s="213">
        <v>11</v>
      </c>
      <c r="J42" s="213"/>
    </row>
    <row r="43" spans="1:14" ht="15.45" customHeight="1" x14ac:dyDescent="0.3">
      <c r="B43" s="213">
        <v>30376</v>
      </c>
      <c r="C43" s="213" t="s">
        <v>52</v>
      </c>
      <c r="D43" s="213" t="s">
        <v>53</v>
      </c>
      <c r="E43" s="213">
        <v>27</v>
      </c>
      <c r="F43" s="213" t="s">
        <v>573</v>
      </c>
      <c r="G43" s="213">
        <v>33</v>
      </c>
      <c r="H43" s="213"/>
      <c r="I43" s="213">
        <v>11</v>
      </c>
      <c r="J43" s="213"/>
    </row>
    <row r="44" spans="1:14" ht="15.45" customHeight="1" x14ac:dyDescent="0.3">
      <c r="B44" s="213">
        <v>32313</v>
      </c>
      <c r="C44" s="213" t="s">
        <v>341</v>
      </c>
      <c r="D44" s="213" t="s">
        <v>369</v>
      </c>
      <c r="E44" s="213">
        <v>28.2</v>
      </c>
      <c r="F44" s="213" t="s">
        <v>573</v>
      </c>
      <c r="G44" s="213">
        <v>34</v>
      </c>
      <c r="H44" s="213"/>
      <c r="I44" s="213">
        <v>11</v>
      </c>
      <c r="J44" s="213"/>
    </row>
    <row r="45" spans="1:14" ht="15.45" customHeight="1" x14ac:dyDescent="0.3">
      <c r="B45" s="213">
        <v>27280</v>
      </c>
      <c r="C45" s="213" t="s">
        <v>263</v>
      </c>
      <c r="D45" s="213" t="s">
        <v>264</v>
      </c>
      <c r="E45" s="213">
        <v>30</v>
      </c>
      <c r="F45" s="213" t="s">
        <v>573</v>
      </c>
      <c r="G45" s="213">
        <v>36</v>
      </c>
      <c r="H45" s="213"/>
      <c r="I45" s="213">
        <v>11</v>
      </c>
      <c r="J45" s="213"/>
    </row>
  </sheetData>
  <sortState xmlns:xlrd2="http://schemas.microsoft.com/office/spreadsheetml/2017/richdata2" ref="B37:G37">
    <sortCondition ref="G37"/>
  </sortState>
  <mergeCells count="22">
    <mergeCell ref="A30:A33"/>
    <mergeCell ref="I30:I33"/>
    <mergeCell ref="A26:A29"/>
    <mergeCell ref="A22:A25"/>
    <mergeCell ref="A2:A5"/>
    <mergeCell ref="A6:A9"/>
    <mergeCell ref="A10:A13"/>
    <mergeCell ref="A14:A17"/>
    <mergeCell ref="A18:A21"/>
    <mergeCell ref="I2:I5"/>
    <mergeCell ref="I10:I13"/>
    <mergeCell ref="I18:I21"/>
    <mergeCell ref="I26:I29"/>
    <mergeCell ref="I6:I9"/>
    <mergeCell ref="I14:I17"/>
    <mergeCell ref="I22:I25"/>
    <mergeCell ref="H22:H25"/>
    <mergeCell ref="H2:H5"/>
    <mergeCell ref="H6:H9"/>
    <mergeCell ref="H10:H13"/>
    <mergeCell ref="H14:H17"/>
    <mergeCell ref="H18:H21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D9970-E411-4CDB-9938-CB6650505600}">
  <sheetPr codeName="Hoja4"/>
  <dimension ref="A1:P362"/>
  <sheetViews>
    <sheetView zoomScale="130" zoomScaleNormal="130" workbookViewId="0">
      <pane ySplit="1" topLeftCell="A334" activePane="bottomLeft" state="frozen"/>
      <selection pane="bottomLeft" activeCell="C349" sqref="C349:D349"/>
    </sheetView>
  </sheetViews>
  <sheetFormatPr baseColWidth="10" defaultColWidth="11.44140625" defaultRowHeight="14.4" x14ac:dyDescent="0.3"/>
  <cols>
    <col min="1" max="1" width="10.77734375" bestFit="1" customWidth="1"/>
    <col min="2" max="2" width="10.44140625" bestFit="1" customWidth="1"/>
    <col min="3" max="3" width="22.44140625" bestFit="1" customWidth="1"/>
    <col min="4" max="4" width="19.44140625" bestFit="1" customWidth="1"/>
    <col min="5" max="5" width="7.44140625" customWidth="1"/>
    <col min="6" max="6" width="14.21875" bestFit="1" customWidth="1"/>
    <col min="7" max="7" width="6.44140625" customWidth="1"/>
    <col min="8" max="8" width="14.44140625" hidden="1" customWidth="1"/>
    <col min="9" max="12" width="11.44140625" customWidth="1"/>
    <col min="13" max="13" width="12.88671875" style="10" bestFit="1" customWidth="1"/>
    <col min="14" max="14" width="14.44140625" style="10" bestFit="1" customWidth="1"/>
    <col min="15" max="15" width="13" style="10" bestFit="1" customWidth="1"/>
    <col min="16" max="16" width="12.77734375" style="10" bestFit="1" customWidth="1"/>
  </cols>
  <sheetData>
    <row r="1" spans="1:16" ht="15.6" x14ac:dyDescent="0.3">
      <c r="A1" s="6" t="s">
        <v>380</v>
      </c>
      <c r="B1" s="6" t="s">
        <v>2</v>
      </c>
      <c r="C1" s="6" t="s">
        <v>3</v>
      </c>
      <c r="D1" s="6" t="s">
        <v>4</v>
      </c>
      <c r="E1" s="8" t="s">
        <v>5</v>
      </c>
      <c r="F1" s="6" t="s">
        <v>6</v>
      </c>
      <c r="G1" s="6" t="s">
        <v>7</v>
      </c>
      <c r="H1" s="6" t="s">
        <v>381</v>
      </c>
      <c r="I1" s="6" t="s">
        <v>382</v>
      </c>
      <c r="J1" s="6" t="s">
        <v>383</v>
      </c>
      <c r="K1" s="6" t="s">
        <v>384</v>
      </c>
      <c r="L1" s="6" t="s">
        <v>8</v>
      </c>
      <c r="M1" s="12" t="s">
        <v>385</v>
      </c>
      <c r="N1" s="12" t="s">
        <v>419</v>
      </c>
      <c r="O1" s="12" t="s">
        <v>386</v>
      </c>
      <c r="P1" s="12" t="s">
        <v>387</v>
      </c>
    </row>
    <row r="2" spans="1:16" ht="15.6" x14ac:dyDescent="0.3">
      <c r="A2" s="54"/>
      <c r="B2" s="55">
        <v>15107</v>
      </c>
      <c r="C2" s="46" t="s">
        <v>153</v>
      </c>
      <c r="D2" s="46" t="s">
        <v>154</v>
      </c>
      <c r="E2" s="47"/>
      <c r="F2" s="45"/>
      <c r="G2" s="45"/>
      <c r="H2" s="45"/>
      <c r="I2" s="45"/>
      <c r="J2" s="45"/>
      <c r="K2" s="45">
        <v>5</v>
      </c>
      <c r="L2" s="45">
        <f>855+80</f>
        <v>935</v>
      </c>
      <c r="M2" s="48">
        <v>1032000</v>
      </c>
      <c r="N2" s="49">
        <v>11</v>
      </c>
      <c r="O2" s="48"/>
      <c r="P2" s="48"/>
    </row>
    <row r="3" spans="1:16" ht="15.6" x14ac:dyDescent="0.3">
      <c r="A3" s="54"/>
      <c r="B3" s="56">
        <v>28433</v>
      </c>
      <c r="C3" s="46" t="s">
        <v>353</v>
      </c>
      <c r="D3" s="46" t="s">
        <v>354</v>
      </c>
      <c r="E3" s="47"/>
      <c r="F3" s="45"/>
      <c r="G3" s="45"/>
      <c r="H3" s="45"/>
      <c r="I3" s="45"/>
      <c r="J3" s="45"/>
      <c r="K3" s="45">
        <v>4</v>
      </c>
      <c r="L3" s="45">
        <v>800</v>
      </c>
      <c r="M3" s="48">
        <v>300000</v>
      </c>
      <c r="N3" s="49">
        <v>9</v>
      </c>
      <c r="O3" s="48"/>
      <c r="P3" s="48"/>
    </row>
    <row r="4" spans="1:16" ht="15.6" x14ac:dyDescent="0.3">
      <c r="A4" s="54"/>
      <c r="B4" s="55">
        <v>16552</v>
      </c>
      <c r="C4" s="46" t="s">
        <v>272</v>
      </c>
      <c r="D4" s="46" t="s">
        <v>273</v>
      </c>
      <c r="E4" s="47"/>
      <c r="F4" s="45"/>
      <c r="G4" s="45"/>
      <c r="H4" s="45"/>
      <c r="I4" s="45"/>
      <c r="J4" s="45"/>
      <c r="K4" s="45"/>
      <c r="L4" s="45">
        <v>750</v>
      </c>
      <c r="M4" s="48">
        <v>410000</v>
      </c>
      <c r="N4" s="49">
        <v>10</v>
      </c>
      <c r="O4" s="48"/>
      <c r="P4" s="48"/>
    </row>
    <row r="5" spans="1:16" ht="15.6" x14ac:dyDescent="0.3">
      <c r="A5" s="54">
        <v>46137</v>
      </c>
      <c r="B5" s="55">
        <v>4080</v>
      </c>
      <c r="C5" s="46" t="s">
        <v>191</v>
      </c>
      <c r="D5" s="46" t="s">
        <v>106</v>
      </c>
      <c r="E5" s="47"/>
      <c r="F5" s="45"/>
      <c r="G5" s="45"/>
      <c r="H5" s="45"/>
      <c r="I5" s="45"/>
      <c r="J5" s="45"/>
      <c r="K5" s="45">
        <v>3</v>
      </c>
      <c r="L5" s="45">
        <v>710</v>
      </c>
      <c r="M5" s="48">
        <v>277000</v>
      </c>
      <c r="N5" s="49">
        <v>10</v>
      </c>
      <c r="O5" s="48"/>
      <c r="P5" s="48"/>
    </row>
    <row r="6" spans="1:16" ht="15.6" x14ac:dyDescent="0.3">
      <c r="A6" s="54"/>
      <c r="B6" s="55">
        <v>30087</v>
      </c>
      <c r="C6" s="46" t="s">
        <v>149</v>
      </c>
      <c r="D6" s="46" t="s">
        <v>150</v>
      </c>
      <c r="E6" s="47"/>
      <c r="F6" s="45"/>
      <c r="G6" s="45"/>
      <c r="H6" s="45"/>
      <c r="I6" s="45"/>
      <c r="J6" s="45"/>
      <c r="K6" s="45">
        <v>4</v>
      </c>
      <c r="L6" s="45">
        <f>690+70</f>
        <v>760</v>
      </c>
      <c r="M6" s="48">
        <v>270000</v>
      </c>
      <c r="N6" s="49">
        <v>9</v>
      </c>
      <c r="O6" s="48"/>
      <c r="P6" s="48"/>
    </row>
    <row r="7" spans="1:16" ht="15.6" x14ac:dyDescent="0.3">
      <c r="A7" s="54"/>
      <c r="B7" s="55">
        <v>8473</v>
      </c>
      <c r="C7" s="46" t="s">
        <v>58</v>
      </c>
      <c r="D7" s="46" t="s">
        <v>59</v>
      </c>
      <c r="E7" s="47"/>
      <c r="F7" s="45"/>
      <c r="G7" s="45"/>
      <c r="H7" s="45"/>
      <c r="I7" s="45"/>
      <c r="J7" s="45"/>
      <c r="K7" s="45"/>
      <c r="L7" s="45">
        <f>675+50</f>
        <v>725</v>
      </c>
      <c r="M7" s="48">
        <v>340000</v>
      </c>
      <c r="N7" s="49">
        <v>11</v>
      </c>
      <c r="O7" s="48"/>
      <c r="P7" s="48"/>
    </row>
    <row r="8" spans="1:16" ht="15.6" x14ac:dyDescent="0.3">
      <c r="A8" s="54"/>
      <c r="B8" s="55">
        <v>30572</v>
      </c>
      <c r="C8" s="46" t="s">
        <v>225</v>
      </c>
      <c r="D8" s="46" t="s">
        <v>226</v>
      </c>
      <c r="E8" s="47"/>
      <c r="F8" s="45"/>
      <c r="G8" s="45"/>
      <c r="H8" s="45"/>
      <c r="I8" s="45"/>
      <c r="J8" s="45"/>
      <c r="K8" s="45"/>
      <c r="L8" s="45">
        <v>670</v>
      </c>
      <c r="M8" s="48"/>
      <c r="N8" s="49">
        <v>8</v>
      </c>
      <c r="O8" s="48"/>
      <c r="P8" s="48"/>
    </row>
    <row r="9" spans="1:16" ht="15.6" x14ac:dyDescent="0.3">
      <c r="A9" s="54"/>
      <c r="B9" s="55">
        <v>12724</v>
      </c>
      <c r="C9" s="46" t="s">
        <v>460</v>
      </c>
      <c r="D9" s="46" t="s">
        <v>246</v>
      </c>
      <c r="E9" s="47"/>
      <c r="F9" s="45"/>
      <c r="G9" s="45"/>
      <c r="H9" s="45"/>
      <c r="I9" s="45"/>
      <c r="J9" s="45"/>
      <c r="K9" s="45"/>
      <c r="L9" s="45">
        <f>665+85</f>
        <v>750</v>
      </c>
      <c r="M9" s="48">
        <f>250000+80000</f>
        <v>330000</v>
      </c>
      <c r="N9" s="49">
        <v>10</v>
      </c>
      <c r="O9" s="48"/>
      <c r="P9" s="48"/>
    </row>
    <row r="10" spans="1:16" ht="15.6" x14ac:dyDescent="0.3">
      <c r="A10" s="54"/>
      <c r="B10" s="55">
        <v>24140</v>
      </c>
      <c r="C10" s="46" t="s">
        <v>363</v>
      </c>
      <c r="D10" s="46" t="s">
        <v>119</v>
      </c>
      <c r="E10" s="47"/>
      <c r="F10" s="45"/>
      <c r="G10" s="45"/>
      <c r="H10" s="45"/>
      <c r="I10" s="45"/>
      <c r="J10" s="45"/>
      <c r="K10" s="45"/>
      <c r="L10" s="50">
        <f>665+70</f>
        <v>735</v>
      </c>
      <c r="M10" s="48">
        <v>620000</v>
      </c>
      <c r="N10" s="49">
        <v>10</v>
      </c>
      <c r="O10" s="48"/>
      <c r="P10" s="48"/>
    </row>
    <row r="11" spans="1:16" s="41" customFormat="1" ht="15.6" x14ac:dyDescent="0.3">
      <c r="A11" s="57"/>
      <c r="B11" s="58">
        <v>18908</v>
      </c>
      <c r="C11" s="51" t="s">
        <v>190</v>
      </c>
      <c r="D11" s="51" t="s">
        <v>88</v>
      </c>
      <c r="E11" s="47"/>
      <c r="F11" s="50"/>
      <c r="G11" s="50"/>
      <c r="H11" s="50"/>
      <c r="I11" s="50"/>
      <c r="J11" s="50"/>
      <c r="K11" s="50">
        <v>2</v>
      </c>
      <c r="L11" s="45">
        <v>655</v>
      </c>
      <c r="M11" s="52">
        <v>807000</v>
      </c>
      <c r="N11" s="49">
        <v>8</v>
      </c>
      <c r="O11" s="52"/>
      <c r="P11" s="52"/>
    </row>
    <row r="12" spans="1:16" ht="15.6" x14ac:dyDescent="0.3">
      <c r="A12" s="54"/>
      <c r="B12" s="55">
        <v>28225</v>
      </c>
      <c r="C12" s="46" t="s">
        <v>222</v>
      </c>
      <c r="D12" s="46" t="s">
        <v>233</v>
      </c>
      <c r="E12" s="47"/>
      <c r="F12" s="45"/>
      <c r="G12" s="45"/>
      <c r="H12" s="45"/>
      <c r="I12" s="45"/>
      <c r="J12" s="45"/>
      <c r="K12" s="45"/>
      <c r="L12" s="50">
        <v>620</v>
      </c>
      <c r="M12" s="48">
        <v>200000</v>
      </c>
      <c r="N12" s="49">
        <v>6</v>
      </c>
      <c r="O12" s="48"/>
      <c r="P12" s="48"/>
    </row>
    <row r="13" spans="1:16" s="41" customFormat="1" ht="15.6" x14ac:dyDescent="0.3">
      <c r="A13" s="57"/>
      <c r="B13" s="59">
        <v>21865</v>
      </c>
      <c r="C13" s="51" t="s">
        <v>107</v>
      </c>
      <c r="D13" s="51" t="s">
        <v>108</v>
      </c>
      <c r="E13" s="47"/>
      <c r="F13" s="50"/>
      <c r="G13" s="50"/>
      <c r="H13" s="50"/>
      <c r="I13" s="50"/>
      <c r="J13" s="50"/>
      <c r="K13" s="50">
        <v>5</v>
      </c>
      <c r="L13" s="50">
        <f>620+50</f>
        <v>670</v>
      </c>
      <c r="M13" s="52">
        <v>160000</v>
      </c>
      <c r="N13" s="49">
        <v>10</v>
      </c>
      <c r="O13" s="52"/>
      <c r="P13" s="52"/>
    </row>
    <row r="14" spans="1:16" ht="15.6" x14ac:dyDescent="0.3">
      <c r="A14" s="54"/>
      <c r="B14" s="55">
        <v>9530</v>
      </c>
      <c r="C14" s="46" t="s">
        <v>461</v>
      </c>
      <c r="D14" s="46" t="s">
        <v>284</v>
      </c>
      <c r="E14" s="47"/>
      <c r="F14" s="45"/>
      <c r="G14" s="45"/>
      <c r="H14" s="45"/>
      <c r="I14" s="45"/>
      <c r="J14" s="45"/>
      <c r="K14" s="45"/>
      <c r="L14" s="45">
        <f>610+65</f>
        <v>675</v>
      </c>
      <c r="M14" s="48">
        <v>100000</v>
      </c>
      <c r="N14" s="49">
        <v>8</v>
      </c>
      <c r="O14" s="48"/>
      <c r="P14" s="48"/>
    </row>
    <row r="15" spans="1:16" ht="15.6" x14ac:dyDescent="0.3">
      <c r="A15" s="54"/>
      <c r="B15" s="55">
        <v>18411</v>
      </c>
      <c r="C15" s="46" t="s">
        <v>28</v>
      </c>
      <c r="D15" s="46" t="s">
        <v>29</v>
      </c>
      <c r="E15" s="47"/>
      <c r="F15" s="45"/>
      <c r="G15" s="45"/>
      <c r="H15" s="45"/>
      <c r="I15" s="45"/>
      <c r="J15" s="45"/>
      <c r="K15" s="45">
        <v>4</v>
      </c>
      <c r="L15" s="45">
        <v>605</v>
      </c>
      <c r="M15" s="48">
        <f>270000+140000</f>
        <v>410000</v>
      </c>
      <c r="N15" s="49">
        <v>9</v>
      </c>
      <c r="O15" s="48"/>
      <c r="P15" s="48"/>
    </row>
    <row r="16" spans="1:16" ht="15.6" x14ac:dyDescent="0.3">
      <c r="A16" s="54"/>
      <c r="B16" s="55">
        <v>16260</v>
      </c>
      <c r="C16" s="46" t="s">
        <v>270</v>
      </c>
      <c r="D16" s="46" t="s">
        <v>271</v>
      </c>
      <c r="E16" s="47"/>
      <c r="F16" s="45"/>
      <c r="G16" s="45"/>
      <c r="H16" s="45"/>
      <c r="I16" s="45"/>
      <c r="J16" s="45"/>
      <c r="K16" s="45">
        <v>5</v>
      </c>
      <c r="L16" s="45">
        <f>565+90</f>
        <v>655</v>
      </c>
      <c r="M16" s="48">
        <v>580000</v>
      </c>
      <c r="N16" s="49">
        <v>7</v>
      </c>
      <c r="O16" s="48"/>
      <c r="P16" s="48">
        <v>2050000</v>
      </c>
    </row>
    <row r="17" spans="1:16" ht="15.6" x14ac:dyDescent="0.3">
      <c r="A17" s="54"/>
      <c r="B17" s="45">
        <v>24283</v>
      </c>
      <c r="C17" s="45" t="s">
        <v>287</v>
      </c>
      <c r="D17" s="45" t="s">
        <v>288</v>
      </c>
      <c r="E17" s="45"/>
      <c r="F17" s="45"/>
      <c r="G17" s="45"/>
      <c r="H17" s="45"/>
      <c r="I17" s="45"/>
      <c r="J17" s="45"/>
      <c r="K17" s="45">
        <v>1</v>
      </c>
      <c r="L17" s="45">
        <f>535+85</f>
        <v>620</v>
      </c>
      <c r="M17" s="48">
        <v>80000</v>
      </c>
      <c r="N17" s="49">
        <v>9</v>
      </c>
      <c r="O17" s="48"/>
      <c r="P17" s="48"/>
    </row>
    <row r="18" spans="1:16" ht="15.6" x14ac:dyDescent="0.3">
      <c r="A18" s="54"/>
      <c r="B18" s="55">
        <v>7891</v>
      </c>
      <c r="C18" s="46" t="s">
        <v>220</v>
      </c>
      <c r="D18" s="46" t="s">
        <v>221</v>
      </c>
      <c r="E18" s="47"/>
      <c r="F18" s="45"/>
      <c r="G18" s="45"/>
      <c r="H18" s="45"/>
      <c r="I18" s="45"/>
      <c r="J18" s="45"/>
      <c r="K18" s="45"/>
      <c r="L18" s="45">
        <f>525+50</f>
        <v>575</v>
      </c>
      <c r="M18" s="48">
        <v>120000</v>
      </c>
      <c r="N18" s="49">
        <v>6</v>
      </c>
      <c r="O18" s="48"/>
      <c r="P18" s="48"/>
    </row>
    <row r="19" spans="1:16" ht="15.6" x14ac:dyDescent="0.3">
      <c r="A19" s="54"/>
      <c r="B19" s="45">
        <v>27233</v>
      </c>
      <c r="C19" s="45" t="s">
        <v>193</v>
      </c>
      <c r="D19" s="45" t="s">
        <v>194</v>
      </c>
      <c r="E19" s="45"/>
      <c r="F19" s="45"/>
      <c r="G19" s="45"/>
      <c r="H19" s="45"/>
      <c r="I19" s="45"/>
      <c r="J19" s="45"/>
      <c r="K19" s="45"/>
      <c r="L19" s="45">
        <f>495+65</f>
        <v>560</v>
      </c>
      <c r="M19" s="48">
        <v>430000</v>
      </c>
      <c r="N19" s="49">
        <v>8</v>
      </c>
      <c r="O19" s="48"/>
      <c r="P19" s="48"/>
    </row>
    <row r="20" spans="1:16" ht="15.6" x14ac:dyDescent="0.3">
      <c r="A20" s="54"/>
      <c r="B20" s="45">
        <v>9446</v>
      </c>
      <c r="C20" s="45" t="s">
        <v>285</v>
      </c>
      <c r="D20" s="45" t="s">
        <v>286</v>
      </c>
      <c r="E20" s="45"/>
      <c r="F20" s="45"/>
      <c r="G20" s="45"/>
      <c r="H20" s="45"/>
      <c r="I20" s="45"/>
      <c r="J20" s="45"/>
      <c r="K20" s="45"/>
      <c r="L20" s="45">
        <f>495+50</f>
        <v>545</v>
      </c>
      <c r="M20" s="48">
        <v>420000</v>
      </c>
      <c r="N20" s="49">
        <v>7</v>
      </c>
      <c r="O20" s="48"/>
      <c r="P20" s="48"/>
    </row>
    <row r="21" spans="1:16" ht="15.6" x14ac:dyDescent="0.3">
      <c r="A21" s="54"/>
      <c r="B21" s="55">
        <v>13625</v>
      </c>
      <c r="C21" s="46" t="s">
        <v>222</v>
      </c>
      <c r="D21" s="46" t="s">
        <v>223</v>
      </c>
      <c r="E21" s="47"/>
      <c r="F21" s="45"/>
      <c r="G21" s="45"/>
      <c r="H21" s="45"/>
      <c r="I21" s="45"/>
      <c r="J21" s="45"/>
      <c r="K21" s="45"/>
      <c r="L21" s="45">
        <v>445</v>
      </c>
      <c r="M21" s="48">
        <v>667000</v>
      </c>
      <c r="N21" s="49">
        <v>4</v>
      </c>
      <c r="O21" s="48"/>
      <c r="P21" s="48"/>
    </row>
    <row r="22" spans="1:16" ht="15.6" x14ac:dyDescent="0.3">
      <c r="A22" s="54"/>
      <c r="B22" s="45">
        <v>22156</v>
      </c>
      <c r="C22" s="45" t="s">
        <v>231</v>
      </c>
      <c r="D22" s="45" t="s">
        <v>232</v>
      </c>
      <c r="E22" s="45"/>
      <c r="F22" s="45"/>
      <c r="G22" s="45"/>
      <c r="H22" s="45"/>
      <c r="I22" s="45"/>
      <c r="J22" s="45"/>
      <c r="K22" s="45"/>
      <c r="L22" s="45">
        <v>430</v>
      </c>
      <c r="M22" s="48">
        <v>120000</v>
      </c>
      <c r="N22" s="49">
        <v>8</v>
      </c>
      <c r="O22" s="48"/>
      <c r="P22" s="48"/>
    </row>
    <row r="23" spans="1:16" ht="15.6" x14ac:dyDescent="0.3">
      <c r="A23" s="54"/>
      <c r="B23" s="60">
        <v>32142</v>
      </c>
      <c r="C23" s="46" t="s">
        <v>47</v>
      </c>
      <c r="D23" s="46" t="s">
        <v>48</v>
      </c>
      <c r="E23" s="47"/>
      <c r="F23" s="45"/>
      <c r="G23" s="45"/>
      <c r="H23" s="45"/>
      <c r="I23" s="45"/>
      <c r="J23" s="45"/>
      <c r="K23" s="45"/>
      <c r="L23" s="45">
        <v>475</v>
      </c>
      <c r="M23" s="48">
        <v>480000</v>
      </c>
      <c r="N23" s="49">
        <v>5</v>
      </c>
      <c r="O23" s="48"/>
      <c r="P23" s="48"/>
    </row>
    <row r="24" spans="1:16" ht="15.6" x14ac:dyDescent="0.3">
      <c r="A24" s="54"/>
      <c r="B24" s="55">
        <v>17043</v>
      </c>
      <c r="C24" s="46" t="s">
        <v>118</v>
      </c>
      <c r="D24" s="46" t="s">
        <v>119</v>
      </c>
      <c r="E24" s="47"/>
      <c r="F24" s="45"/>
      <c r="G24" s="45"/>
      <c r="H24" s="45"/>
      <c r="I24" s="45"/>
      <c r="J24" s="45"/>
      <c r="K24" s="45"/>
      <c r="L24" s="45">
        <v>400</v>
      </c>
      <c r="M24" s="48">
        <v>270000</v>
      </c>
      <c r="N24" s="49">
        <v>7</v>
      </c>
      <c r="O24" s="48"/>
      <c r="P24" s="48"/>
    </row>
    <row r="25" spans="1:16" ht="15.6" x14ac:dyDescent="0.3">
      <c r="A25" s="45"/>
      <c r="B25" s="45">
        <v>19187</v>
      </c>
      <c r="C25" s="45" t="s">
        <v>328</v>
      </c>
      <c r="D25" s="45" t="s">
        <v>200</v>
      </c>
      <c r="E25" s="45"/>
      <c r="F25" s="45"/>
      <c r="G25" s="45"/>
      <c r="H25" s="45"/>
      <c r="I25" s="45"/>
      <c r="J25" s="45"/>
      <c r="K25" s="45"/>
      <c r="L25" s="45">
        <v>395</v>
      </c>
      <c r="M25" s="48">
        <v>390000</v>
      </c>
      <c r="N25" s="49">
        <v>5</v>
      </c>
      <c r="O25" s="48"/>
      <c r="P25" s="48"/>
    </row>
    <row r="26" spans="1:16" ht="15.6" x14ac:dyDescent="0.3">
      <c r="A26" s="54"/>
      <c r="B26" s="55">
        <v>26953</v>
      </c>
      <c r="C26" s="46" t="s">
        <v>120</v>
      </c>
      <c r="D26" s="46" t="s">
        <v>121</v>
      </c>
      <c r="E26" s="47"/>
      <c r="F26" s="45"/>
      <c r="G26" s="45"/>
      <c r="H26" s="45"/>
      <c r="I26" s="45"/>
      <c r="J26" s="45"/>
      <c r="K26" s="45"/>
      <c r="L26" s="45">
        <v>485</v>
      </c>
      <c r="M26" s="48">
        <f>190000+220000</f>
        <v>410000</v>
      </c>
      <c r="N26" s="49">
        <v>8</v>
      </c>
      <c r="O26" s="48"/>
      <c r="P26" s="48"/>
    </row>
    <row r="27" spans="1:16" ht="15.6" x14ac:dyDescent="0.3">
      <c r="A27" s="54"/>
      <c r="B27" s="55">
        <v>27435</v>
      </c>
      <c r="C27" s="46" t="s">
        <v>151</v>
      </c>
      <c r="D27" s="46" t="s">
        <v>152</v>
      </c>
      <c r="E27" s="47"/>
      <c r="F27" s="45"/>
      <c r="G27" s="45"/>
      <c r="H27" s="45"/>
      <c r="I27" s="45"/>
      <c r="J27" s="45"/>
      <c r="K27" s="45">
        <v>1</v>
      </c>
      <c r="L27" s="45">
        <f>340+80</f>
        <v>420</v>
      </c>
      <c r="M27" s="48">
        <v>340000</v>
      </c>
      <c r="N27" s="49">
        <v>5</v>
      </c>
      <c r="O27" s="48"/>
      <c r="P27" s="48"/>
    </row>
    <row r="28" spans="1:16" ht="15.6" x14ac:dyDescent="0.3">
      <c r="A28" s="54"/>
      <c r="B28" s="55">
        <v>31818</v>
      </c>
      <c r="C28" s="46" t="s">
        <v>235</v>
      </c>
      <c r="D28" s="46" t="s">
        <v>236</v>
      </c>
      <c r="E28" s="47"/>
      <c r="F28" s="45"/>
      <c r="G28" s="45"/>
      <c r="H28" s="45"/>
      <c r="I28" s="45"/>
      <c r="J28" s="45"/>
      <c r="K28" s="45">
        <v>2</v>
      </c>
      <c r="L28" s="45">
        <v>285</v>
      </c>
      <c r="M28" s="48">
        <v>310000</v>
      </c>
      <c r="N28" s="49">
        <v>4</v>
      </c>
      <c r="O28" s="48"/>
      <c r="P28" s="48"/>
    </row>
    <row r="29" spans="1:16" ht="15.6" x14ac:dyDescent="0.3">
      <c r="A29" s="54"/>
      <c r="B29" s="45">
        <v>20941</v>
      </c>
      <c r="C29" s="45" t="s">
        <v>319</v>
      </c>
      <c r="D29" s="45" t="s">
        <v>320</v>
      </c>
      <c r="E29" s="45"/>
      <c r="F29" s="45"/>
      <c r="G29" s="45"/>
      <c r="H29" s="45"/>
      <c r="I29" s="45"/>
      <c r="J29" s="45"/>
      <c r="K29" s="45"/>
      <c r="L29" s="45">
        <v>255</v>
      </c>
      <c r="M29" s="48">
        <v>380000</v>
      </c>
      <c r="N29" s="49">
        <v>4</v>
      </c>
      <c r="O29" s="48"/>
      <c r="P29" s="48"/>
    </row>
    <row r="30" spans="1:16" ht="15.6" x14ac:dyDescent="0.3">
      <c r="A30" s="54"/>
      <c r="B30" s="56">
        <v>14084</v>
      </c>
      <c r="C30" s="46" t="s">
        <v>39</v>
      </c>
      <c r="D30" s="46" t="s">
        <v>40</v>
      </c>
      <c r="E30" s="47"/>
      <c r="F30" s="45"/>
      <c r="G30" s="45"/>
      <c r="H30" s="45"/>
      <c r="I30" s="45"/>
      <c r="J30" s="45"/>
      <c r="K30" s="45">
        <v>10</v>
      </c>
      <c r="L30" s="45">
        <v>240</v>
      </c>
      <c r="M30" s="48">
        <v>60000</v>
      </c>
      <c r="N30" s="49">
        <v>4</v>
      </c>
      <c r="O30" s="48"/>
      <c r="P30" s="48"/>
    </row>
    <row r="31" spans="1:16" ht="15.6" x14ac:dyDescent="0.3">
      <c r="A31" s="54"/>
      <c r="B31" s="55">
        <v>3936</v>
      </c>
      <c r="C31" s="46" t="s">
        <v>462</v>
      </c>
      <c r="D31" s="46" t="s">
        <v>463</v>
      </c>
      <c r="E31" s="47"/>
      <c r="F31" s="45"/>
      <c r="G31" s="45"/>
      <c r="H31" s="45"/>
      <c r="I31" s="45"/>
      <c r="J31" s="45"/>
      <c r="K31" s="45"/>
      <c r="L31" s="45">
        <f>220+50</f>
        <v>270</v>
      </c>
      <c r="M31" s="48"/>
      <c r="N31" s="49">
        <v>4</v>
      </c>
      <c r="O31" s="48"/>
      <c r="P31" s="48"/>
    </row>
    <row r="32" spans="1:16" ht="15.6" x14ac:dyDescent="0.3">
      <c r="A32" s="54"/>
      <c r="B32" s="55">
        <v>14715</v>
      </c>
      <c r="C32" s="46" t="s">
        <v>339</v>
      </c>
      <c r="D32" s="46" t="s">
        <v>340</v>
      </c>
      <c r="E32" s="47"/>
      <c r="F32" s="45"/>
      <c r="G32" s="45"/>
      <c r="H32" s="45"/>
      <c r="I32" s="45"/>
      <c r="J32" s="45"/>
      <c r="K32" s="45"/>
      <c r="L32" s="45">
        <v>215</v>
      </c>
      <c r="M32" s="48">
        <v>60000</v>
      </c>
      <c r="N32" s="49">
        <v>3</v>
      </c>
      <c r="O32" s="48"/>
      <c r="P32" s="48"/>
    </row>
    <row r="33" spans="1:16" ht="15.6" x14ac:dyDescent="0.3">
      <c r="A33" s="54"/>
      <c r="B33" s="55">
        <v>32182</v>
      </c>
      <c r="C33" s="46" t="s">
        <v>188</v>
      </c>
      <c r="D33" s="46" t="s">
        <v>189</v>
      </c>
      <c r="E33" s="47"/>
      <c r="F33" s="45"/>
      <c r="G33" s="45"/>
      <c r="H33" s="45"/>
      <c r="I33" s="45"/>
      <c r="J33" s="45"/>
      <c r="K33" s="45"/>
      <c r="L33" s="45">
        <v>210</v>
      </c>
      <c r="M33" s="48"/>
      <c r="N33" s="49">
        <v>3</v>
      </c>
      <c r="O33" s="48"/>
      <c r="P33" s="48"/>
    </row>
    <row r="34" spans="1:16" ht="15.6" x14ac:dyDescent="0.3">
      <c r="A34" s="54"/>
      <c r="B34" s="45">
        <v>30101</v>
      </c>
      <c r="C34" s="45" t="s">
        <v>341</v>
      </c>
      <c r="D34" s="45" t="s">
        <v>342</v>
      </c>
      <c r="E34" s="45"/>
      <c r="F34" s="45"/>
      <c r="G34" s="45"/>
      <c r="H34" s="45"/>
      <c r="I34" s="45"/>
      <c r="J34" s="45"/>
      <c r="K34" s="45">
        <v>1</v>
      </c>
      <c r="L34" s="45">
        <v>205</v>
      </c>
      <c r="M34" s="48">
        <v>60000</v>
      </c>
      <c r="N34" s="49">
        <v>3</v>
      </c>
      <c r="O34" s="48"/>
      <c r="P34" s="48"/>
    </row>
    <row r="35" spans="1:16" ht="15.6" x14ac:dyDescent="0.3">
      <c r="A35" s="54"/>
      <c r="B35" s="55">
        <v>33116</v>
      </c>
      <c r="C35" s="46" t="s">
        <v>195</v>
      </c>
      <c r="D35" s="46" t="s">
        <v>196</v>
      </c>
      <c r="E35" s="47"/>
      <c r="F35" s="45"/>
      <c r="G35" s="45"/>
      <c r="H35" s="45"/>
      <c r="I35" s="45"/>
      <c r="J35" s="45"/>
      <c r="K35" s="45"/>
      <c r="L35" s="45">
        <v>130</v>
      </c>
      <c r="M35" s="48">
        <v>167000</v>
      </c>
      <c r="N35" s="49">
        <v>2</v>
      </c>
      <c r="O35" s="48"/>
      <c r="P35" s="48"/>
    </row>
    <row r="36" spans="1:16" ht="15.6" x14ac:dyDescent="0.3">
      <c r="A36" s="54"/>
      <c r="B36" s="55">
        <v>28528</v>
      </c>
      <c r="C36" s="46" t="s">
        <v>173</v>
      </c>
      <c r="D36" s="46" t="s">
        <v>174</v>
      </c>
      <c r="E36" s="47"/>
      <c r="F36" s="45"/>
      <c r="G36" s="45"/>
      <c r="H36" s="45"/>
      <c r="I36" s="45"/>
      <c r="J36" s="45"/>
      <c r="K36" s="45">
        <v>1</v>
      </c>
      <c r="L36" s="45">
        <v>125</v>
      </c>
      <c r="M36" s="48">
        <v>60000</v>
      </c>
      <c r="N36" s="49">
        <v>2</v>
      </c>
      <c r="O36" s="48"/>
      <c r="P36" s="48"/>
    </row>
    <row r="37" spans="1:16" ht="15.6" x14ac:dyDescent="0.3">
      <c r="A37" s="54"/>
      <c r="B37" s="55">
        <v>31833</v>
      </c>
      <c r="C37" s="46" t="s">
        <v>140</v>
      </c>
      <c r="D37" s="46" t="s">
        <v>40</v>
      </c>
      <c r="E37" s="47"/>
      <c r="F37" s="45"/>
      <c r="G37" s="45"/>
      <c r="H37" s="45"/>
      <c r="I37" s="45"/>
      <c r="J37" s="45"/>
      <c r="K37" s="45"/>
      <c r="L37" s="45">
        <v>110</v>
      </c>
      <c r="M37" s="48"/>
      <c r="N37" s="49">
        <v>1</v>
      </c>
      <c r="O37" s="48"/>
      <c r="P37" s="48"/>
    </row>
    <row r="38" spans="1:16" ht="15.6" x14ac:dyDescent="0.3">
      <c r="A38" s="54"/>
      <c r="B38" s="55">
        <v>33476</v>
      </c>
      <c r="C38" s="46" t="s">
        <v>166</v>
      </c>
      <c r="D38" s="46" t="s">
        <v>167</v>
      </c>
      <c r="E38" s="47"/>
      <c r="F38" s="45"/>
      <c r="G38" s="45"/>
      <c r="H38" s="45"/>
      <c r="I38" s="45"/>
      <c r="J38" s="45"/>
      <c r="K38" s="45"/>
      <c r="L38" s="45">
        <v>110</v>
      </c>
      <c r="M38" s="48"/>
      <c r="N38" s="49">
        <v>1</v>
      </c>
      <c r="O38" s="48"/>
      <c r="P38" s="48"/>
    </row>
    <row r="39" spans="1:16" ht="15.6" x14ac:dyDescent="0.3">
      <c r="A39" s="54"/>
      <c r="B39" s="55">
        <v>14824</v>
      </c>
      <c r="C39" s="46" t="s">
        <v>364</v>
      </c>
      <c r="D39" s="46" t="s">
        <v>365</v>
      </c>
      <c r="E39" s="47"/>
      <c r="F39" s="45"/>
      <c r="G39" s="45"/>
      <c r="H39" s="45"/>
      <c r="I39" s="45"/>
      <c r="J39" s="45"/>
      <c r="K39" s="45"/>
      <c r="L39" s="45">
        <v>90</v>
      </c>
      <c r="M39" s="48">
        <v>130000</v>
      </c>
      <c r="N39" s="49">
        <v>1</v>
      </c>
      <c r="O39" s="48"/>
      <c r="P39" s="48"/>
    </row>
    <row r="40" spans="1:16" ht="15.6" x14ac:dyDescent="0.3">
      <c r="A40" s="54"/>
      <c r="B40" s="55">
        <v>22617</v>
      </c>
      <c r="C40" s="46" t="s">
        <v>326</v>
      </c>
      <c r="D40" s="46" t="s">
        <v>327</v>
      </c>
      <c r="E40" s="47"/>
      <c r="F40" s="45"/>
      <c r="G40" s="45"/>
      <c r="H40" s="45"/>
      <c r="I40" s="45"/>
      <c r="J40" s="45"/>
      <c r="K40" s="45"/>
      <c r="L40" s="45">
        <v>80</v>
      </c>
      <c r="M40" s="48">
        <v>30000</v>
      </c>
      <c r="N40" s="49">
        <v>1</v>
      </c>
      <c r="O40" s="48"/>
      <c r="P40" s="48"/>
    </row>
    <row r="41" spans="1:16" s="41" customFormat="1" ht="15.6" x14ac:dyDescent="0.3">
      <c r="A41" s="57"/>
      <c r="B41" s="61">
        <v>2193</v>
      </c>
      <c r="C41" s="51" t="s">
        <v>84</v>
      </c>
      <c r="D41" s="51" t="s">
        <v>88</v>
      </c>
      <c r="E41" s="47"/>
      <c r="F41" s="50"/>
      <c r="G41" s="50"/>
      <c r="H41" s="50"/>
      <c r="I41" s="50"/>
      <c r="J41" s="50"/>
      <c r="K41" s="50"/>
      <c r="L41" s="50">
        <v>80</v>
      </c>
      <c r="M41" s="52">
        <v>130000</v>
      </c>
      <c r="N41" s="49">
        <v>1</v>
      </c>
      <c r="O41" s="52"/>
      <c r="P41" s="52"/>
    </row>
    <row r="42" spans="1:16" s="41" customFormat="1" ht="15.6" x14ac:dyDescent="0.3">
      <c r="A42" s="57"/>
      <c r="B42" s="59">
        <v>34722</v>
      </c>
      <c r="C42" s="51" t="s">
        <v>464</v>
      </c>
      <c r="D42" s="51" t="s">
        <v>458</v>
      </c>
      <c r="E42" s="47"/>
      <c r="F42" s="50"/>
      <c r="G42" s="50"/>
      <c r="H42" s="50"/>
      <c r="I42" s="50"/>
      <c r="J42" s="50"/>
      <c r="K42" s="50"/>
      <c r="L42" s="50">
        <v>75</v>
      </c>
      <c r="M42" s="52">
        <v>85000</v>
      </c>
      <c r="N42" s="49">
        <v>1</v>
      </c>
      <c r="O42" s="52"/>
      <c r="P42" s="52"/>
    </row>
    <row r="43" spans="1:16" s="41" customFormat="1" ht="15.6" x14ac:dyDescent="0.3">
      <c r="A43" s="57"/>
      <c r="B43" s="59">
        <v>12531</v>
      </c>
      <c r="C43" s="51" t="s">
        <v>366</v>
      </c>
      <c r="D43" s="51" t="s">
        <v>367</v>
      </c>
      <c r="E43" s="47"/>
      <c r="F43" s="50"/>
      <c r="G43" s="50"/>
      <c r="H43" s="50"/>
      <c r="I43" s="50"/>
      <c r="J43" s="50"/>
      <c r="K43" s="50"/>
      <c r="L43" s="50">
        <v>75</v>
      </c>
      <c r="M43" s="52">
        <v>85000</v>
      </c>
      <c r="N43" s="49">
        <v>1</v>
      </c>
      <c r="O43" s="52"/>
      <c r="P43" s="52"/>
    </row>
    <row r="44" spans="1:16" s="41" customFormat="1" ht="15.6" x14ac:dyDescent="0.3">
      <c r="A44" s="57"/>
      <c r="B44" s="50">
        <v>2329</v>
      </c>
      <c r="C44" s="50" t="s">
        <v>465</v>
      </c>
      <c r="D44" s="50" t="s">
        <v>466</v>
      </c>
      <c r="E44" s="50"/>
      <c r="F44" s="50"/>
      <c r="G44" s="50"/>
      <c r="H44" s="50"/>
      <c r="I44" s="50"/>
      <c r="J44" s="50"/>
      <c r="K44" s="50"/>
      <c r="L44" s="50">
        <v>70</v>
      </c>
      <c r="M44" s="52"/>
      <c r="N44" s="49">
        <v>1</v>
      </c>
      <c r="O44" s="52"/>
      <c r="P44" s="52"/>
    </row>
    <row r="45" spans="1:16" s="41" customFormat="1" ht="15.6" x14ac:dyDescent="0.3">
      <c r="A45" s="57"/>
      <c r="B45" s="59">
        <v>18861</v>
      </c>
      <c r="C45" s="51" t="s">
        <v>351</v>
      </c>
      <c r="D45" s="51" t="s">
        <v>352</v>
      </c>
      <c r="E45" s="47"/>
      <c r="F45" s="50"/>
      <c r="G45" s="50"/>
      <c r="H45" s="50"/>
      <c r="I45" s="50"/>
      <c r="J45" s="50"/>
      <c r="K45" s="50">
        <v>1</v>
      </c>
      <c r="L45" s="50">
        <v>70</v>
      </c>
      <c r="M45" s="52"/>
      <c r="N45" s="49">
        <v>2</v>
      </c>
      <c r="O45" s="52"/>
      <c r="P45" s="52"/>
    </row>
    <row r="46" spans="1:16" s="41" customFormat="1" ht="15.6" x14ac:dyDescent="0.3">
      <c r="A46" s="57"/>
      <c r="B46" s="59">
        <v>1396</v>
      </c>
      <c r="C46" s="51" t="s">
        <v>66</v>
      </c>
      <c r="D46" s="51" t="s">
        <v>67</v>
      </c>
      <c r="E46" s="47"/>
      <c r="F46" s="50"/>
      <c r="G46" s="50"/>
      <c r="H46" s="50"/>
      <c r="I46" s="50"/>
      <c r="J46" s="50"/>
      <c r="K46" s="50"/>
      <c r="L46" s="50">
        <v>65</v>
      </c>
      <c r="M46" s="52"/>
      <c r="N46" s="49">
        <v>1</v>
      </c>
      <c r="O46" s="52"/>
      <c r="P46" s="52"/>
    </row>
    <row r="47" spans="1:16" s="41" customFormat="1" ht="15.6" x14ac:dyDescent="0.3">
      <c r="A47" s="57"/>
      <c r="B47" s="59">
        <v>351</v>
      </c>
      <c r="C47" s="51" t="s">
        <v>155</v>
      </c>
      <c r="D47" s="51" t="s">
        <v>156</v>
      </c>
      <c r="E47" s="47"/>
      <c r="F47" s="50"/>
      <c r="G47" s="50"/>
      <c r="H47" s="50"/>
      <c r="I47" s="50"/>
      <c r="J47" s="50"/>
      <c r="K47" s="50"/>
      <c r="L47" s="50">
        <v>65</v>
      </c>
      <c r="M47" s="52"/>
      <c r="N47" s="49">
        <v>1</v>
      </c>
      <c r="O47" s="52"/>
      <c r="P47" s="52"/>
    </row>
    <row r="48" spans="1:16" s="41" customFormat="1" ht="15.6" x14ac:dyDescent="0.3">
      <c r="A48" s="57"/>
      <c r="B48" s="59">
        <v>17697</v>
      </c>
      <c r="C48" s="51" t="s">
        <v>84</v>
      </c>
      <c r="D48" s="51" t="s">
        <v>196</v>
      </c>
      <c r="E48" s="47"/>
      <c r="F48" s="50"/>
      <c r="G48" s="50"/>
      <c r="H48" s="50"/>
      <c r="I48" s="50"/>
      <c r="J48" s="50"/>
      <c r="K48" s="50"/>
      <c r="L48" s="50">
        <v>60</v>
      </c>
      <c r="M48" s="52"/>
      <c r="N48" s="49">
        <v>1</v>
      </c>
      <c r="O48" s="52"/>
      <c r="P48" s="52"/>
    </row>
    <row r="49" spans="1:16" s="41" customFormat="1" ht="15.6" x14ac:dyDescent="0.3">
      <c r="A49" s="57"/>
      <c r="B49" s="59">
        <v>20886</v>
      </c>
      <c r="C49" s="51" t="s">
        <v>258</v>
      </c>
      <c r="D49" s="51" t="s">
        <v>250</v>
      </c>
      <c r="E49" s="47"/>
      <c r="F49" s="50"/>
      <c r="G49" s="50"/>
      <c r="H49" s="50"/>
      <c r="I49" s="50"/>
      <c r="J49" s="50"/>
      <c r="K49" s="50">
        <v>1</v>
      </c>
      <c r="L49" s="50">
        <v>50</v>
      </c>
      <c r="M49" s="52"/>
      <c r="N49" s="49">
        <v>1</v>
      </c>
      <c r="O49" s="52"/>
      <c r="P49" s="52"/>
    </row>
    <row r="50" spans="1:16" s="41" customFormat="1" ht="15.6" x14ac:dyDescent="0.3">
      <c r="A50" s="57"/>
      <c r="B50" s="59">
        <v>666666</v>
      </c>
      <c r="C50" s="51" t="s">
        <v>467</v>
      </c>
      <c r="D50" s="51" t="s">
        <v>161</v>
      </c>
      <c r="E50" s="47"/>
      <c r="F50" s="50"/>
      <c r="G50" s="50"/>
      <c r="H50" s="50"/>
      <c r="I50" s="50"/>
      <c r="J50" s="50"/>
      <c r="K50" s="50"/>
      <c r="L50" s="50">
        <v>35</v>
      </c>
      <c r="M50" s="52"/>
      <c r="N50" s="49">
        <v>1</v>
      </c>
      <c r="O50" s="52"/>
      <c r="P50" s="52"/>
    </row>
    <row r="51" spans="1:16" s="41" customFormat="1" ht="15.6" x14ac:dyDescent="0.3">
      <c r="A51" s="57"/>
      <c r="B51" s="58">
        <v>666667</v>
      </c>
      <c r="C51" s="53" t="s">
        <v>468</v>
      </c>
      <c r="D51" s="53"/>
      <c r="E51" s="47"/>
      <c r="F51" s="50"/>
      <c r="G51" s="50"/>
      <c r="H51" s="50"/>
      <c r="I51" s="50"/>
      <c r="J51" s="50"/>
      <c r="K51" s="50"/>
      <c r="L51" s="50">
        <v>30</v>
      </c>
      <c r="M51" s="52"/>
      <c r="N51" s="49">
        <v>1</v>
      </c>
      <c r="O51" s="52"/>
      <c r="P51" s="52"/>
    </row>
    <row r="52" spans="1:16" s="41" customFormat="1" ht="15.6" x14ac:dyDescent="0.3">
      <c r="A52" s="57">
        <v>46137</v>
      </c>
      <c r="B52" s="59"/>
      <c r="C52" s="51" t="s">
        <v>469</v>
      </c>
      <c r="D52" s="51" t="s">
        <v>470</v>
      </c>
      <c r="E52" s="47"/>
      <c r="F52" s="50"/>
      <c r="G52" s="50"/>
      <c r="H52" s="50"/>
      <c r="I52" s="50"/>
      <c r="J52" s="50"/>
      <c r="K52" s="50"/>
      <c r="L52" s="50">
        <v>95</v>
      </c>
      <c r="M52" s="52">
        <v>180000</v>
      </c>
      <c r="N52" s="49">
        <v>1</v>
      </c>
      <c r="O52" s="52"/>
      <c r="P52" s="52"/>
    </row>
    <row r="53" spans="1:16" s="41" customFormat="1" ht="15.6" x14ac:dyDescent="0.3">
      <c r="A53" s="57">
        <v>46151</v>
      </c>
      <c r="B53" s="58">
        <v>18908</v>
      </c>
      <c r="C53" s="51" t="s">
        <v>190</v>
      </c>
      <c r="D53" s="51" t="s">
        <v>88</v>
      </c>
      <c r="E53" s="47"/>
      <c r="F53" s="50"/>
      <c r="G53" s="50"/>
      <c r="H53" s="50"/>
      <c r="I53" s="50"/>
      <c r="J53" s="50"/>
      <c r="K53" s="50"/>
      <c r="L53" s="50">
        <v>95</v>
      </c>
      <c r="M53" s="52"/>
      <c r="N53" s="49">
        <v>1</v>
      </c>
      <c r="O53" s="52"/>
      <c r="P53" s="52"/>
    </row>
    <row r="54" spans="1:16" s="41" customFormat="1" ht="15.6" x14ac:dyDescent="0.3">
      <c r="A54" s="57">
        <v>46151</v>
      </c>
      <c r="B54" s="55">
        <v>15107</v>
      </c>
      <c r="C54" s="46" t="s">
        <v>153</v>
      </c>
      <c r="D54" s="46" t="s">
        <v>154</v>
      </c>
      <c r="E54" s="50"/>
      <c r="F54" s="50"/>
      <c r="G54" s="50"/>
      <c r="H54" s="50"/>
      <c r="I54" s="50"/>
      <c r="J54" s="50"/>
      <c r="K54" s="50"/>
      <c r="L54" s="50">
        <v>65</v>
      </c>
      <c r="M54" s="52"/>
      <c r="N54" s="49">
        <v>1</v>
      </c>
      <c r="O54" s="52"/>
      <c r="P54" s="52">
        <v>250000</v>
      </c>
    </row>
    <row r="55" spans="1:16" s="41" customFormat="1" ht="15.6" x14ac:dyDescent="0.3">
      <c r="A55" s="57">
        <v>46151</v>
      </c>
      <c r="B55" s="55">
        <v>16260</v>
      </c>
      <c r="C55" s="46" t="s">
        <v>270</v>
      </c>
      <c r="D55" s="46" t="s">
        <v>271</v>
      </c>
      <c r="E55" s="47"/>
      <c r="F55" s="50"/>
      <c r="G55" s="50"/>
      <c r="H55" s="50"/>
      <c r="I55" s="50"/>
      <c r="J55" s="50"/>
      <c r="K55" s="50"/>
      <c r="L55" s="50">
        <v>90</v>
      </c>
      <c r="M55" s="52"/>
      <c r="N55" s="49">
        <v>1</v>
      </c>
      <c r="O55" s="52"/>
      <c r="P55" s="52"/>
    </row>
    <row r="56" spans="1:16" s="41" customFormat="1" ht="15.6" x14ac:dyDescent="0.3">
      <c r="A56" s="57">
        <v>46151</v>
      </c>
      <c r="B56" s="59">
        <v>21865</v>
      </c>
      <c r="C56" s="51" t="s">
        <v>107</v>
      </c>
      <c r="D56" s="51" t="s">
        <v>108</v>
      </c>
      <c r="E56" s="47"/>
      <c r="F56" s="50"/>
      <c r="G56" s="50"/>
      <c r="H56" s="50"/>
      <c r="I56" s="50"/>
      <c r="J56" s="50"/>
      <c r="K56" s="50"/>
      <c r="L56" s="50">
        <v>95</v>
      </c>
      <c r="M56" s="52"/>
      <c r="N56" s="49">
        <v>1</v>
      </c>
      <c r="O56" s="52"/>
      <c r="P56" s="52"/>
    </row>
    <row r="57" spans="1:16" s="41" customFormat="1" ht="15.6" x14ac:dyDescent="0.3">
      <c r="A57" s="57">
        <v>46151</v>
      </c>
      <c r="B57" s="45">
        <v>22156</v>
      </c>
      <c r="C57" s="45" t="s">
        <v>231</v>
      </c>
      <c r="D57" s="45" t="s">
        <v>232</v>
      </c>
      <c r="E57" s="47"/>
      <c r="F57" s="50"/>
      <c r="G57" s="50"/>
      <c r="H57" s="50"/>
      <c r="I57" s="50"/>
      <c r="J57" s="50"/>
      <c r="K57" s="50"/>
      <c r="L57" s="50">
        <v>60</v>
      </c>
      <c r="M57" s="52"/>
      <c r="N57" s="49">
        <v>1</v>
      </c>
      <c r="O57" s="52"/>
      <c r="P57" s="52"/>
    </row>
    <row r="58" spans="1:16" s="41" customFormat="1" ht="15.6" x14ac:dyDescent="0.3">
      <c r="A58" s="57">
        <v>46151</v>
      </c>
      <c r="B58" s="55">
        <v>24140</v>
      </c>
      <c r="C58" s="46" t="s">
        <v>363</v>
      </c>
      <c r="D58" s="46" t="s">
        <v>119</v>
      </c>
      <c r="E58" s="47"/>
      <c r="F58" s="50"/>
      <c r="G58" s="50"/>
      <c r="H58" s="50"/>
      <c r="I58" s="50"/>
      <c r="J58" s="50"/>
      <c r="K58" s="50"/>
      <c r="L58" s="50">
        <v>75</v>
      </c>
      <c r="M58" s="52"/>
      <c r="N58" s="49">
        <v>1</v>
      </c>
      <c r="O58" s="52"/>
      <c r="P58" s="52"/>
    </row>
    <row r="59" spans="1:16" s="41" customFormat="1" ht="15.6" x14ac:dyDescent="0.3">
      <c r="A59" s="57">
        <v>46151</v>
      </c>
      <c r="B59" s="55">
        <v>3936</v>
      </c>
      <c r="C59" s="46" t="s">
        <v>462</v>
      </c>
      <c r="D59" s="46" t="s">
        <v>463</v>
      </c>
      <c r="E59" s="47"/>
      <c r="F59" s="50"/>
      <c r="G59" s="50"/>
      <c r="H59" s="50"/>
      <c r="I59" s="50"/>
      <c r="J59" s="50"/>
      <c r="K59" s="50"/>
      <c r="L59" s="50">
        <v>80</v>
      </c>
      <c r="M59" s="52"/>
      <c r="N59" s="49">
        <v>1</v>
      </c>
      <c r="O59" s="52"/>
      <c r="P59" s="52"/>
    </row>
    <row r="60" spans="1:16" s="41" customFormat="1" ht="15.6" x14ac:dyDescent="0.3">
      <c r="A60" s="57">
        <v>46151</v>
      </c>
      <c r="B60" s="55">
        <v>16552</v>
      </c>
      <c r="C60" s="46" t="s">
        <v>272</v>
      </c>
      <c r="D60" s="46" t="s">
        <v>273</v>
      </c>
      <c r="E60" s="47"/>
      <c r="F60" s="50"/>
      <c r="G60" s="50"/>
      <c r="H60" s="50"/>
      <c r="I60" s="50"/>
      <c r="J60" s="50"/>
      <c r="K60" s="50"/>
      <c r="L60" s="50">
        <v>95</v>
      </c>
      <c r="M60" s="52"/>
      <c r="N60" s="49">
        <v>1</v>
      </c>
      <c r="O60" s="52"/>
      <c r="P60" s="52"/>
    </row>
    <row r="61" spans="1:16" s="41" customFormat="1" ht="15.6" x14ac:dyDescent="0.3">
      <c r="A61" s="57">
        <v>46151</v>
      </c>
      <c r="B61" s="55">
        <v>26953</v>
      </c>
      <c r="C61" s="46" t="s">
        <v>120</v>
      </c>
      <c r="D61" s="46" t="s">
        <v>121</v>
      </c>
      <c r="E61" s="47"/>
      <c r="F61" s="50"/>
      <c r="G61" s="50"/>
      <c r="H61" s="50"/>
      <c r="I61" s="50"/>
      <c r="J61" s="50"/>
      <c r="K61" s="50"/>
      <c r="L61" s="50">
        <v>100</v>
      </c>
      <c r="M61" s="52"/>
      <c r="N61" s="49">
        <v>1</v>
      </c>
      <c r="O61" s="52"/>
      <c r="P61" s="52"/>
    </row>
    <row r="62" spans="1:16" s="41" customFormat="1" ht="15.6" x14ac:dyDescent="0.3">
      <c r="A62" s="57">
        <v>46151</v>
      </c>
      <c r="B62" s="55">
        <v>12724</v>
      </c>
      <c r="C62" s="46" t="s">
        <v>460</v>
      </c>
      <c r="D62" s="46" t="s">
        <v>246</v>
      </c>
      <c r="E62" s="47"/>
      <c r="F62" s="50"/>
      <c r="G62" s="50"/>
      <c r="H62" s="50"/>
      <c r="I62" s="50"/>
      <c r="J62" s="50"/>
      <c r="K62" s="50"/>
      <c r="L62" s="50">
        <v>75</v>
      </c>
      <c r="M62" s="52"/>
      <c r="N62" s="49">
        <v>1</v>
      </c>
      <c r="O62" s="52"/>
      <c r="P62" s="52"/>
    </row>
    <row r="63" spans="1:16" s="41" customFormat="1" ht="15.6" x14ac:dyDescent="0.3">
      <c r="A63" s="57">
        <v>46151</v>
      </c>
      <c r="B63" s="56">
        <v>14084</v>
      </c>
      <c r="C63" s="46" t="s">
        <v>39</v>
      </c>
      <c r="D63" s="46" t="s">
        <v>40</v>
      </c>
      <c r="E63" s="47"/>
      <c r="F63" s="50"/>
      <c r="G63" s="50"/>
      <c r="H63" s="50"/>
      <c r="I63" s="50"/>
      <c r="J63" s="50"/>
      <c r="K63" s="50"/>
      <c r="L63" s="50">
        <v>85</v>
      </c>
      <c r="M63" s="52"/>
      <c r="N63" s="49">
        <v>1</v>
      </c>
      <c r="O63" s="52"/>
      <c r="P63" s="52"/>
    </row>
    <row r="64" spans="1:16" s="41" customFormat="1" ht="15.6" x14ac:dyDescent="0.3">
      <c r="A64" s="57">
        <v>46151</v>
      </c>
      <c r="B64" s="55">
        <v>17043</v>
      </c>
      <c r="C64" s="46" t="s">
        <v>118</v>
      </c>
      <c r="D64" s="46" t="s">
        <v>119</v>
      </c>
      <c r="E64" s="47"/>
      <c r="F64" s="50"/>
      <c r="G64" s="50"/>
      <c r="H64" s="50"/>
      <c r="I64" s="50"/>
      <c r="J64" s="50"/>
      <c r="K64" s="50"/>
      <c r="L64" s="50">
        <v>70</v>
      </c>
      <c r="M64" s="52"/>
      <c r="N64" s="49">
        <v>1</v>
      </c>
      <c r="O64" s="52"/>
      <c r="P64" s="52"/>
    </row>
    <row r="65" spans="1:16" s="41" customFormat="1" ht="15.6" x14ac:dyDescent="0.3">
      <c r="A65" s="57">
        <v>46158</v>
      </c>
      <c r="B65" s="58">
        <v>18908</v>
      </c>
      <c r="C65" s="51" t="s">
        <v>190</v>
      </c>
      <c r="D65" s="51" t="s">
        <v>88</v>
      </c>
      <c r="E65" s="47"/>
      <c r="F65" s="50"/>
      <c r="G65" s="50"/>
      <c r="H65" s="50"/>
      <c r="I65" s="50"/>
      <c r="J65" s="50"/>
      <c r="K65" s="50"/>
      <c r="L65" s="50">
        <v>100</v>
      </c>
      <c r="M65" s="52">
        <v>160000</v>
      </c>
      <c r="N65" s="49">
        <v>1</v>
      </c>
      <c r="O65" s="52"/>
      <c r="P65" s="52"/>
    </row>
    <row r="66" spans="1:16" s="41" customFormat="1" ht="15.6" x14ac:dyDescent="0.3">
      <c r="A66" s="57">
        <v>46158</v>
      </c>
      <c r="B66" s="55">
        <v>30572</v>
      </c>
      <c r="C66" s="46" t="s">
        <v>225</v>
      </c>
      <c r="D66" s="46" t="s">
        <v>226</v>
      </c>
      <c r="E66" s="47"/>
      <c r="F66" s="50"/>
      <c r="G66" s="50"/>
      <c r="H66" s="50"/>
      <c r="I66" s="50"/>
      <c r="J66" s="50"/>
      <c r="K66" s="50"/>
      <c r="L66" s="50">
        <v>100</v>
      </c>
      <c r="M66" s="52">
        <v>160000</v>
      </c>
      <c r="N66" s="49">
        <v>1</v>
      </c>
      <c r="O66" s="52"/>
      <c r="P66" s="52"/>
    </row>
    <row r="67" spans="1:16" s="41" customFormat="1" ht="15.6" x14ac:dyDescent="0.3">
      <c r="A67" s="57">
        <v>46158</v>
      </c>
      <c r="B67" s="55">
        <v>30087</v>
      </c>
      <c r="C67" s="46" t="s">
        <v>149</v>
      </c>
      <c r="D67" s="46" t="s">
        <v>150</v>
      </c>
      <c r="E67" s="50"/>
      <c r="F67" s="50"/>
      <c r="G67" s="50"/>
      <c r="H67" s="50"/>
      <c r="I67" s="50"/>
      <c r="J67" s="50"/>
      <c r="K67" s="50"/>
      <c r="L67" s="50">
        <v>95</v>
      </c>
      <c r="M67" s="52">
        <v>110000</v>
      </c>
      <c r="N67" s="49">
        <v>1</v>
      </c>
      <c r="O67" s="52"/>
      <c r="P67" s="52"/>
    </row>
    <row r="68" spans="1:16" s="41" customFormat="1" ht="15.6" x14ac:dyDescent="0.3">
      <c r="A68" s="57">
        <v>46158</v>
      </c>
      <c r="B68" s="45">
        <v>22156</v>
      </c>
      <c r="C68" s="45" t="s">
        <v>231</v>
      </c>
      <c r="D68" s="45" t="s">
        <v>232</v>
      </c>
      <c r="E68" s="47"/>
      <c r="F68" s="50"/>
      <c r="G68" s="50"/>
      <c r="H68" s="50"/>
      <c r="I68" s="50"/>
      <c r="J68" s="50"/>
      <c r="K68" s="50"/>
      <c r="L68" s="50">
        <v>50</v>
      </c>
      <c r="M68" s="52"/>
      <c r="N68" s="49">
        <v>1</v>
      </c>
      <c r="O68" s="52"/>
      <c r="P68" s="52"/>
    </row>
    <row r="69" spans="1:16" s="41" customFormat="1" ht="15.6" x14ac:dyDescent="0.3">
      <c r="A69" s="57">
        <v>46158</v>
      </c>
      <c r="B69" s="55">
        <v>4080</v>
      </c>
      <c r="C69" s="46" t="s">
        <v>191</v>
      </c>
      <c r="D69" s="46" t="s">
        <v>106</v>
      </c>
      <c r="E69" s="47"/>
      <c r="F69" s="50"/>
      <c r="G69" s="50"/>
      <c r="H69" s="50"/>
      <c r="I69" s="50"/>
      <c r="J69" s="50"/>
      <c r="K69" s="50"/>
      <c r="L69" s="50">
        <v>70</v>
      </c>
      <c r="M69" s="52"/>
      <c r="N69" s="49">
        <v>1</v>
      </c>
      <c r="O69" s="52"/>
      <c r="P69" s="52"/>
    </row>
    <row r="70" spans="1:16" s="41" customFormat="1" ht="15.6" x14ac:dyDescent="0.3">
      <c r="A70" s="57">
        <v>46158</v>
      </c>
      <c r="B70" s="55">
        <v>27435</v>
      </c>
      <c r="C70" s="46" t="s">
        <v>151</v>
      </c>
      <c r="D70" s="46" t="s">
        <v>152</v>
      </c>
      <c r="E70" s="50"/>
      <c r="F70" s="50"/>
      <c r="G70" s="50"/>
      <c r="H70" s="50"/>
      <c r="I70" s="50"/>
      <c r="J70" s="50"/>
      <c r="K70" s="50"/>
      <c r="L70" s="50">
        <v>65</v>
      </c>
      <c r="M70" s="52"/>
      <c r="N70" s="49">
        <v>1</v>
      </c>
      <c r="O70" s="52"/>
      <c r="P70" s="52"/>
    </row>
    <row r="71" spans="1:16" s="41" customFormat="1" ht="15.6" x14ac:dyDescent="0.3">
      <c r="A71" s="57">
        <v>46158</v>
      </c>
      <c r="B71" s="55">
        <v>8473</v>
      </c>
      <c r="C71" s="46" t="s">
        <v>58</v>
      </c>
      <c r="D71" s="46" t="s">
        <v>59</v>
      </c>
      <c r="E71" s="47"/>
      <c r="F71" s="50"/>
      <c r="G71" s="50"/>
      <c r="H71" s="50"/>
      <c r="I71" s="50"/>
      <c r="J71" s="50"/>
      <c r="K71" s="50">
        <v>5</v>
      </c>
      <c r="L71" s="50">
        <v>60</v>
      </c>
      <c r="M71" s="52"/>
      <c r="N71" s="49">
        <v>1</v>
      </c>
      <c r="O71" s="52"/>
      <c r="P71" s="52"/>
    </row>
    <row r="72" spans="1:16" ht="15.6" x14ac:dyDescent="0.3">
      <c r="A72" s="57">
        <v>46158</v>
      </c>
      <c r="B72" s="45">
        <v>27233</v>
      </c>
      <c r="C72" s="45" t="s">
        <v>193</v>
      </c>
      <c r="D72" s="45" t="s">
        <v>194</v>
      </c>
      <c r="E72" s="47"/>
      <c r="F72" s="45"/>
      <c r="G72" s="45"/>
      <c r="H72" s="45"/>
      <c r="I72" s="45"/>
      <c r="J72" s="45"/>
      <c r="K72" s="45"/>
      <c r="L72" s="50">
        <v>50</v>
      </c>
      <c r="M72" s="48"/>
      <c r="N72" s="49">
        <v>1</v>
      </c>
      <c r="O72" s="48"/>
      <c r="P72" s="48"/>
    </row>
    <row r="73" spans="1:16" ht="15.6" x14ac:dyDescent="0.3">
      <c r="A73" s="57">
        <v>46158</v>
      </c>
      <c r="B73" s="59">
        <v>21865</v>
      </c>
      <c r="C73" s="51" t="s">
        <v>107</v>
      </c>
      <c r="D73" s="51" t="s">
        <v>108</v>
      </c>
      <c r="E73" s="47"/>
      <c r="F73" s="45"/>
      <c r="G73" s="45"/>
      <c r="H73" s="45"/>
      <c r="I73" s="45"/>
      <c r="J73" s="45"/>
      <c r="K73" s="45"/>
      <c r="L73" s="45">
        <v>80</v>
      </c>
      <c r="M73" s="48"/>
      <c r="N73" s="49">
        <v>1</v>
      </c>
      <c r="O73" s="48"/>
      <c r="P73" s="48"/>
    </row>
    <row r="74" spans="1:16" ht="15.6" x14ac:dyDescent="0.3">
      <c r="A74" s="57">
        <v>46158</v>
      </c>
      <c r="B74" s="55">
        <v>7891</v>
      </c>
      <c r="C74" s="46" t="s">
        <v>220</v>
      </c>
      <c r="D74" s="46" t="s">
        <v>221</v>
      </c>
      <c r="E74" s="47"/>
      <c r="F74" s="45"/>
      <c r="G74" s="45"/>
      <c r="H74" s="45"/>
      <c r="I74" s="45"/>
      <c r="J74" s="45"/>
      <c r="K74" s="45"/>
      <c r="L74" s="45">
        <v>50</v>
      </c>
      <c r="M74" s="48"/>
      <c r="N74" s="49">
        <v>1</v>
      </c>
      <c r="O74" s="48"/>
      <c r="P74" s="48"/>
    </row>
    <row r="75" spans="1:16" ht="15.6" x14ac:dyDescent="0.3">
      <c r="A75" s="57">
        <v>46158</v>
      </c>
      <c r="B75" s="45">
        <v>20941</v>
      </c>
      <c r="C75" s="45" t="s">
        <v>319</v>
      </c>
      <c r="D75" s="45" t="s">
        <v>320</v>
      </c>
      <c r="E75" s="47"/>
      <c r="F75" s="45"/>
      <c r="G75" s="45"/>
      <c r="H75" s="45"/>
      <c r="I75" s="45"/>
      <c r="J75" s="45"/>
      <c r="K75" s="45"/>
      <c r="L75" s="45">
        <v>80</v>
      </c>
      <c r="M75" s="48"/>
      <c r="N75" s="49">
        <v>1</v>
      </c>
      <c r="O75" s="48"/>
      <c r="P75" s="48"/>
    </row>
    <row r="76" spans="1:16" ht="15.6" x14ac:dyDescent="0.3">
      <c r="A76" s="57">
        <v>46158</v>
      </c>
      <c r="B76" s="55">
        <v>33116</v>
      </c>
      <c r="C76" s="46" t="s">
        <v>195</v>
      </c>
      <c r="D76" s="46" t="s">
        <v>196</v>
      </c>
      <c r="E76" s="47"/>
      <c r="F76" s="45"/>
      <c r="G76" s="45"/>
      <c r="H76" s="45"/>
      <c r="I76" s="45"/>
      <c r="J76" s="45"/>
      <c r="K76" s="45"/>
      <c r="L76" s="45">
        <v>75</v>
      </c>
      <c r="M76" s="48"/>
      <c r="N76" s="49">
        <v>1</v>
      </c>
      <c r="O76" s="48"/>
      <c r="P76" s="48"/>
    </row>
    <row r="77" spans="1:16" ht="15.6" x14ac:dyDescent="0.3">
      <c r="A77" s="57">
        <v>46158</v>
      </c>
      <c r="B77" s="55">
        <v>28225</v>
      </c>
      <c r="C77" s="46" t="s">
        <v>222</v>
      </c>
      <c r="D77" s="46" t="s">
        <v>233</v>
      </c>
      <c r="E77" s="47"/>
      <c r="F77" s="45"/>
      <c r="G77" s="45"/>
      <c r="H77" s="45"/>
      <c r="I77" s="45"/>
      <c r="J77" s="45"/>
      <c r="K77" s="45">
        <v>1</v>
      </c>
      <c r="L77" s="45">
        <v>90</v>
      </c>
      <c r="M77" s="48"/>
      <c r="N77" s="49">
        <v>1</v>
      </c>
      <c r="O77" s="48"/>
      <c r="P77" s="48"/>
    </row>
    <row r="78" spans="1:16" ht="15.6" x14ac:dyDescent="0.3">
      <c r="A78" s="57">
        <v>46158</v>
      </c>
      <c r="B78" s="55">
        <v>14715</v>
      </c>
      <c r="C78" s="46" t="s">
        <v>339</v>
      </c>
      <c r="D78" s="46" t="s">
        <v>340</v>
      </c>
      <c r="E78" s="47"/>
      <c r="F78" s="45"/>
      <c r="G78" s="45"/>
      <c r="H78" s="45"/>
      <c r="I78" s="45"/>
      <c r="J78" s="45"/>
      <c r="K78" s="45"/>
      <c r="L78" s="45">
        <v>80</v>
      </c>
      <c r="M78" s="48"/>
      <c r="N78" s="49">
        <v>1</v>
      </c>
      <c r="O78" s="48"/>
      <c r="P78" s="48"/>
    </row>
    <row r="79" spans="1:16" ht="15.6" x14ac:dyDescent="0.3">
      <c r="A79" s="57">
        <v>46158</v>
      </c>
      <c r="B79" s="59">
        <v>18861</v>
      </c>
      <c r="C79" s="51" t="s">
        <v>351</v>
      </c>
      <c r="D79" s="51" t="s">
        <v>352</v>
      </c>
      <c r="E79" s="47"/>
      <c r="F79" s="45"/>
      <c r="G79" s="45"/>
      <c r="H79" s="45"/>
      <c r="I79" s="45"/>
      <c r="J79" s="45">
        <v>69</v>
      </c>
      <c r="K79" s="45"/>
      <c r="L79" s="45">
        <v>100</v>
      </c>
      <c r="M79" s="48">
        <v>160000</v>
      </c>
      <c r="N79" s="49">
        <v>1</v>
      </c>
      <c r="O79" s="48"/>
      <c r="P79" s="48"/>
    </row>
    <row r="80" spans="1:16" ht="15.6" x14ac:dyDescent="0.3">
      <c r="A80" s="57">
        <v>46158</v>
      </c>
      <c r="B80" s="55">
        <v>15107</v>
      </c>
      <c r="C80" s="46" t="s">
        <v>153</v>
      </c>
      <c r="D80" s="46" t="s">
        <v>154</v>
      </c>
      <c r="E80" s="47"/>
      <c r="F80" s="45"/>
      <c r="G80" s="45"/>
      <c r="H80" s="45"/>
      <c r="I80" s="45"/>
      <c r="J80" s="45"/>
      <c r="K80" s="45"/>
      <c r="L80" s="45">
        <v>50</v>
      </c>
      <c r="M80" s="48"/>
      <c r="N80" s="49">
        <v>1</v>
      </c>
      <c r="O80" s="48"/>
      <c r="P80" s="48">
        <v>180000</v>
      </c>
    </row>
    <row r="81" spans="1:16" ht="15.6" x14ac:dyDescent="0.3">
      <c r="A81" s="57">
        <v>46158</v>
      </c>
      <c r="B81" s="55">
        <v>26953</v>
      </c>
      <c r="C81" s="46" t="s">
        <v>120</v>
      </c>
      <c r="D81" s="46" t="s">
        <v>121</v>
      </c>
      <c r="E81" s="47"/>
      <c r="F81" s="45"/>
      <c r="G81" s="45"/>
      <c r="H81" s="45"/>
      <c r="I81" s="45"/>
      <c r="J81" s="45"/>
      <c r="K81" s="45"/>
      <c r="L81" s="45">
        <v>70</v>
      </c>
      <c r="M81" s="48"/>
      <c r="N81" s="49">
        <v>1</v>
      </c>
      <c r="O81" s="48"/>
      <c r="P81" s="48"/>
    </row>
    <row r="82" spans="1:16" ht="15.6" x14ac:dyDescent="0.3">
      <c r="A82" s="57">
        <v>46158</v>
      </c>
      <c r="B82" s="45">
        <v>19187</v>
      </c>
      <c r="C82" s="45" t="s">
        <v>328</v>
      </c>
      <c r="D82" s="45" t="s">
        <v>200</v>
      </c>
      <c r="E82" s="47"/>
      <c r="F82" s="45"/>
      <c r="G82" s="45"/>
      <c r="H82" s="45"/>
      <c r="I82" s="45"/>
      <c r="J82" s="45"/>
      <c r="K82" s="45">
        <v>1</v>
      </c>
      <c r="L82" s="45">
        <v>95</v>
      </c>
      <c r="M82" s="48">
        <v>110000</v>
      </c>
      <c r="N82" s="49">
        <v>1</v>
      </c>
      <c r="O82" s="48"/>
      <c r="P82" s="48"/>
    </row>
    <row r="83" spans="1:16" ht="15.6" x14ac:dyDescent="0.3">
      <c r="A83" s="57">
        <v>46158</v>
      </c>
      <c r="B83" s="55">
        <v>3936</v>
      </c>
      <c r="C83" s="46" t="s">
        <v>462</v>
      </c>
      <c r="D83" s="46" t="s">
        <v>463</v>
      </c>
      <c r="E83" s="45"/>
      <c r="F83" s="45"/>
      <c r="G83" s="45"/>
      <c r="H83" s="45"/>
      <c r="I83" s="45"/>
      <c r="J83" s="45"/>
      <c r="K83" s="45"/>
      <c r="L83" s="45">
        <v>85</v>
      </c>
      <c r="M83" s="48"/>
      <c r="N83" s="49">
        <v>1</v>
      </c>
      <c r="O83" s="48"/>
      <c r="P83" s="48"/>
    </row>
    <row r="84" spans="1:16" ht="15.6" x14ac:dyDescent="0.3">
      <c r="A84" s="57">
        <v>46158</v>
      </c>
      <c r="B84" s="56">
        <v>28433</v>
      </c>
      <c r="C84" s="46" t="s">
        <v>353</v>
      </c>
      <c r="D84" s="46" t="s">
        <v>354</v>
      </c>
      <c r="E84" s="47"/>
      <c r="F84" s="45"/>
      <c r="G84" s="45"/>
      <c r="H84" s="45"/>
      <c r="I84" s="45"/>
      <c r="J84" s="45"/>
      <c r="K84" s="45"/>
      <c r="L84" s="45">
        <v>90</v>
      </c>
      <c r="M84" s="48"/>
      <c r="N84" s="49">
        <v>1</v>
      </c>
      <c r="O84" s="48"/>
      <c r="P84" s="48"/>
    </row>
    <row r="85" spans="1:16" ht="15.6" x14ac:dyDescent="0.3">
      <c r="A85" s="54">
        <v>46165</v>
      </c>
      <c r="B85" s="55">
        <v>12724</v>
      </c>
      <c r="C85" s="46" t="s">
        <v>460</v>
      </c>
      <c r="D85" s="46" t="s">
        <v>246</v>
      </c>
      <c r="E85" s="47"/>
      <c r="F85" s="45"/>
      <c r="G85" s="45">
        <v>10</v>
      </c>
      <c r="H85" s="45"/>
      <c r="I85" s="45"/>
      <c r="J85" s="45">
        <v>75</v>
      </c>
      <c r="K85" s="45"/>
      <c r="L85" s="45">
        <v>70</v>
      </c>
      <c r="M85" s="48"/>
      <c r="N85" s="49">
        <v>1</v>
      </c>
      <c r="O85" s="48"/>
      <c r="P85" s="48"/>
    </row>
    <row r="86" spans="1:16" ht="15.6" x14ac:dyDescent="0.3">
      <c r="A86" s="54">
        <v>46165</v>
      </c>
      <c r="B86" s="58">
        <v>18908</v>
      </c>
      <c r="C86" s="51" t="s">
        <v>190</v>
      </c>
      <c r="D86" s="51" t="s">
        <v>88</v>
      </c>
      <c r="E86" s="47"/>
      <c r="F86" s="45"/>
      <c r="G86" s="45">
        <v>12</v>
      </c>
      <c r="H86" s="45"/>
      <c r="I86" s="45"/>
      <c r="J86" s="45">
        <v>70</v>
      </c>
      <c r="K86" s="45"/>
      <c r="L86" s="45">
        <v>90</v>
      </c>
      <c r="M86" s="48">
        <v>140000</v>
      </c>
      <c r="N86" s="49">
        <v>1</v>
      </c>
      <c r="O86" s="48"/>
      <c r="P86" s="48"/>
    </row>
    <row r="87" spans="1:16" ht="15.6" x14ac:dyDescent="0.3">
      <c r="A87" s="54">
        <v>46165</v>
      </c>
      <c r="B87" s="55">
        <v>30087</v>
      </c>
      <c r="C87" s="46" t="s">
        <v>149</v>
      </c>
      <c r="D87" s="46" t="s">
        <v>150</v>
      </c>
      <c r="E87" s="47"/>
      <c r="F87" s="45"/>
      <c r="G87" s="45">
        <v>12</v>
      </c>
      <c r="H87" s="45"/>
      <c r="I87" s="45"/>
      <c r="J87" s="45">
        <v>71</v>
      </c>
      <c r="K87" s="45"/>
      <c r="L87" s="45">
        <v>85</v>
      </c>
      <c r="M87" s="48">
        <v>120000</v>
      </c>
      <c r="N87" s="49">
        <v>1</v>
      </c>
      <c r="O87" s="48"/>
      <c r="P87" s="48"/>
    </row>
    <row r="88" spans="1:16" ht="15.6" x14ac:dyDescent="0.3">
      <c r="A88" s="54">
        <v>46165</v>
      </c>
      <c r="B88" s="49">
        <v>9446</v>
      </c>
      <c r="C88" s="49" t="s">
        <v>285</v>
      </c>
      <c r="D88" s="49" t="s">
        <v>286</v>
      </c>
      <c r="E88" s="47"/>
      <c r="F88" s="45"/>
      <c r="G88" s="45">
        <v>12</v>
      </c>
      <c r="H88" s="45"/>
      <c r="I88" s="45"/>
      <c r="J88" s="45">
        <v>73</v>
      </c>
      <c r="K88" s="45"/>
      <c r="L88" s="45">
        <v>80</v>
      </c>
      <c r="M88" s="48">
        <v>100000</v>
      </c>
      <c r="N88" s="49">
        <v>1</v>
      </c>
      <c r="O88" s="48"/>
      <c r="P88" s="48"/>
    </row>
    <row r="89" spans="1:16" ht="15.6" x14ac:dyDescent="0.3">
      <c r="A89" s="54">
        <v>46165</v>
      </c>
      <c r="B89" s="59">
        <v>21865</v>
      </c>
      <c r="C89" s="51" t="s">
        <v>107</v>
      </c>
      <c r="D89" s="51" t="s">
        <v>108</v>
      </c>
      <c r="E89" s="47"/>
      <c r="F89" s="45"/>
      <c r="G89" s="45">
        <v>15</v>
      </c>
      <c r="H89" s="45"/>
      <c r="I89" s="45"/>
      <c r="J89" s="45">
        <v>76</v>
      </c>
      <c r="K89" s="45"/>
      <c r="L89" s="45">
        <v>65</v>
      </c>
      <c r="M89" s="48"/>
      <c r="N89" s="49">
        <v>1</v>
      </c>
      <c r="O89" s="48"/>
      <c r="P89" s="48"/>
    </row>
    <row r="90" spans="1:16" ht="15.6" x14ac:dyDescent="0.3">
      <c r="A90" s="54">
        <v>46165</v>
      </c>
      <c r="B90" s="55">
        <v>17043</v>
      </c>
      <c r="C90" s="46" t="s">
        <v>118</v>
      </c>
      <c r="D90" s="46" t="s">
        <v>119</v>
      </c>
      <c r="E90" s="45"/>
      <c r="F90" s="45"/>
      <c r="G90" s="45">
        <v>18</v>
      </c>
      <c r="H90" s="45"/>
      <c r="I90" s="45"/>
      <c r="J90" s="45">
        <v>82</v>
      </c>
      <c r="K90" s="45"/>
      <c r="L90" s="45">
        <v>45</v>
      </c>
      <c r="M90" s="48"/>
      <c r="N90" s="49">
        <v>1</v>
      </c>
      <c r="O90" s="48"/>
      <c r="P90" s="48"/>
    </row>
    <row r="91" spans="1:16" ht="15.6" x14ac:dyDescent="0.3">
      <c r="A91" s="54">
        <v>46165</v>
      </c>
      <c r="B91" s="55">
        <v>3936</v>
      </c>
      <c r="C91" s="46" t="s">
        <v>462</v>
      </c>
      <c r="D91" s="46" t="s">
        <v>463</v>
      </c>
      <c r="E91" s="45"/>
      <c r="F91" s="45"/>
      <c r="G91" s="45">
        <v>18</v>
      </c>
      <c r="H91" s="45"/>
      <c r="I91" s="45"/>
      <c r="J91" s="45">
        <v>81</v>
      </c>
      <c r="K91" s="45"/>
      <c r="L91" s="45">
        <v>50</v>
      </c>
      <c r="M91" s="48"/>
      <c r="N91" s="49">
        <v>1</v>
      </c>
      <c r="O91" s="48"/>
      <c r="P91" s="48"/>
    </row>
    <row r="92" spans="1:16" ht="15.6" x14ac:dyDescent="0.3">
      <c r="A92" s="54">
        <v>46165</v>
      </c>
      <c r="B92" s="55">
        <v>7891</v>
      </c>
      <c r="C92" s="46" t="s">
        <v>220</v>
      </c>
      <c r="D92" s="46" t="s">
        <v>221</v>
      </c>
      <c r="E92" s="45"/>
      <c r="F92" s="45"/>
      <c r="G92" s="45">
        <v>19</v>
      </c>
      <c r="H92" s="45"/>
      <c r="I92" s="45"/>
      <c r="J92" s="45">
        <v>67</v>
      </c>
      <c r="K92" s="45"/>
      <c r="L92" s="45">
        <v>100</v>
      </c>
      <c r="M92" s="48">
        <v>200000</v>
      </c>
      <c r="N92" s="49">
        <v>1</v>
      </c>
      <c r="O92" s="48"/>
      <c r="P92" s="48"/>
    </row>
    <row r="93" spans="1:16" ht="15.6" x14ac:dyDescent="0.3">
      <c r="A93" s="54">
        <v>46165</v>
      </c>
      <c r="B93" s="60">
        <v>32142</v>
      </c>
      <c r="C93" s="46" t="s">
        <v>47</v>
      </c>
      <c r="D93" s="46" t="s">
        <v>48</v>
      </c>
      <c r="E93" s="45"/>
      <c r="F93" s="45"/>
      <c r="G93" s="45">
        <v>20</v>
      </c>
      <c r="H93" s="45"/>
      <c r="I93" s="45"/>
      <c r="J93" s="45">
        <v>76</v>
      </c>
      <c r="K93" s="45">
        <v>1</v>
      </c>
      <c r="L93" s="45">
        <v>65</v>
      </c>
      <c r="M93" s="48"/>
      <c r="N93" s="49">
        <v>1</v>
      </c>
      <c r="O93" s="48"/>
      <c r="P93" s="48"/>
    </row>
    <row r="94" spans="1:16" ht="15.6" x14ac:dyDescent="0.3">
      <c r="A94" s="54">
        <v>46165</v>
      </c>
      <c r="B94" s="55">
        <v>30572</v>
      </c>
      <c r="C94" s="46" t="s">
        <v>225</v>
      </c>
      <c r="D94" s="46" t="s">
        <v>226</v>
      </c>
      <c r="E94" s="45"/>
      <c r="F94" s="45"/>
      <c r="G94" s="45">
        <v>21</v>
      </c>
      <c r="H94" s="45"/>
      <c r="I94" s="45"/>
      <c r="J94" s="45">
        <v>79</v>
      </c>
      <c r="K94" s="45"/>
      <c r="L94" s="45">
        <v>55</v>
      </c>
      <c r="M94" s="48"/>
      <c r="N94" s="49">
        <v>1</v>
      </c>
      <c r="O94" s="48"/>
      <c r="P94" s="48"/>
    </row>
    <row r="95" spans="1:16" ht="15.6" x14ac:dyDescent="0.3">
      <c r="A95" s="54">
        <v>46165</v>
      </c>
      <c r="B95" s="45">
        <v>20941</v>
      </c>
      <c r="C95" s="45" t="s">
        <v>319</v>
      </c>
      <c r="D95" s="45" t="s">
        <v>320</v>
      </c>
      <c r="E95" s="45"/>
      <c r="F95" s="45"/>
      <c r="G95" s="45">
        <v>24</v>
      </c>
      <c r="H95" s="45"/>
      <c r="I95" s="45"/>
      <c r="J95" s="45">
        <v>76</v>
      </c>
      <c r="K95" s="45"/>
      <c r="L95" s="45">
        <v>65</v>
      </c>
      <c r="M95" s="48"/>
      <c r="N95" s="49">
        <v>1</v>
      </c>
      <c r="O95" s="48"/>
      <c r="P95" s="48"/>
    </row>
    <row r="96" spans="1:16" ht="15.6" x14ac:dyDescent="0.3">
      <c r="A96" s="54">
        <v>46165</v>
      </c>
      <c r="B96" s="55">
        <v>17043</v>
      </c>
      <c r="C96" s="46" t="s">
        <v>118</v>
      </c>
      <c r="D96" s="46" t="s">
        <v>119</v>
      </c>
      <c r="E96" s="45"/>
      <c r="F96" s="45"/>
      <c r="G96" s="45">
        <v>24</v>
      </c>
      <c r="H96" s="45"/>
      <c r="I96" s="45"/>
      <c r="J96" s="45">
        <v>74</v>
      </c>
      <c r="K96" s="45"/>
      <c r="L96" s="45">
        <v>75</v>
      </c>
      <c r="M96" s="48"/>
      <c r="N96" s="49">
        <v>1</v>
      </c>
      <c r="O96" s="48"/>
      <c r="P96" s="48"/>
    </row>
    <row r="97" spans="1:16" ht="15.6" x14ac:dyDescent="0.3">
      <c r="A97" s="54">
        <v>46165</v>
      </c>
      <c r="B97" s="55">
        <v>16552</v>
      </c>
      <c r="C97" s="46" t="s">
        <v>272</v>
      </c>
      <c r="D97" s="46" t="s">
        <v>273</v>
      </c>
      <c r="E97" s="45"/>
      <c r="F97" s="45"/>
      <c r="G97" s="45">
        <v>12</v>
      </c>
      <c r="H97" s="45"/>
      <c r="I97" s="45"/>
      <c r="J97" s="45">
        <v>76</v>
      </c>
      <c r="K97" s="45">
        <v>1</v>
      </c>
      <c r="L97" s="45">
        <v>65</v>
      </c>
      <c r="M97" s="48"/>
      <c r="N97" s="49">
        <v>1</v>
      </c>
      <c r="O97" s="48"/>
      <c r="P97" s="48"/>
    </row>
    <row r="98" spans="1:16" ht="15.6" x14ac:dyDescent="0.3">
      <c r="A98" s="54">
        <v>46165</v>
      </c>
      <c r="B98" s="55">
        <v>28225</v>
      </c>
      <c r="C98" s="46" t="s">
        <v>222</v>
      </c>
      <c r="D98" s="46" t="s">
        <v>233</v>
      </c>
      <c r="E98" s="45"/>
      <c r="F98" s="45"/>
      <c r="G98" s="45">
        <v>13</v>
      </c>
      <c r="H98" s="45"/>
      <c r="I98" s="45"/>
      <c r="J98" s="45">
        <v>78</v>
      </c>
      <c r="K98" s="45"/>
      <c r="L98" s="45">
        <v>60</v>
      </c>
      <c r="M98" s="48"/>
      <c r="N98" s="49">
        <v>1</v>
      </c>
      <c r="O98" s="48"/>
      <c r="P98" s="48"/>
    </row>
    <row r="99" spans="1:16" ht="15.6" x14ac:dyDescent="0.3">
      <c r="A99" s="54">
        <v>46165</v>
      </c>
      <c r="B99" s="55">
        <v>15107</v>
      </c>
      <c r="C99" s="46" t="s">
        <v>153</v>
      </c>
      <c r="D99" s="46" t="s">
        <v>154</v>
      </c>
      <c r="E99" s="45"/>
      <c r="F99" s="45"/>
      <c r="G99" s="45">
        <v>14</v>
      </c>
      <c r="H99" s="45"/>
      <c r="I99" s="45"/>
      <c r="J99" s="45">
        <v>82</v>
      </c>
      <c r="K99" s="45"/>
      <c r="L99" s="45">
        <v>45</v>
      </c>
      <c r="M99" s="48"/>
      <c r="N99" s="49">
        <v>1</v>
      </c>
      <c r="O99" s="48"/>
      <c r="P99" s="48">
        <v>100000</v>
      </c>
    </row>
    <row r="100" spans="1:16" ht="15.6" x14ac:dyDescent="0.3">
      <c r="A100" s="54">
        <v>46165</v>
      </c>
      <c r="B100" s="55">
        <v>4080</v>
      </c>
      <c r="C100" s="46" t="s">
        <v>191</v>
      </c>
      <c r="D100" s="46" t="s">
        <v>106</v>
      </c>
      <c r="E100" s="45"/>
      <c r="F100" s="45"/>
      <c r="G100" s="45">
        <v>16</v>
      </c>
      <c r="H100" s="45"/>
      <c r="I100" s="45"/>
      <c r="J100" s="45">
        <v>81</v>
      </c>
      <c r="K100" s="45"/>
      <c r="L100" s="45">
        <v>50</v>
      </c>
      <c r="M100" s="48"/>
      <c r="N100" s="49">
        <v>1</v>
      </c>
      <c r="O100" s="48"/>
      <c r="P100" s="48"/>
    </row>
    <row r="101" spans="1:16" ht="15.6" x14ac:dyDescent="0.3">
      <c r="A101" s="54">
        <v>46165</v>
      </c>
      <c r="B101" s="56">
        <v>28433</v>
      </c>
      <c r="C101" s="46" t="s">
        <v>353</v>
      </c>
      <c r="D101" s="46" t="s">
        <v>354</v>
      </c>
      <c r="E101" s="45"/>
      <c r="F101" s="45"/>
      <c r="G101" s="45">
        <v>24</v>
      </c>
      <c r="H101" s="45"/>
      <c r="I101" s="45"/>
      <c r="J101" s="45">
        <v>79</v>
      </c>
      <c r="K101" s="45"/>
      <c r="L101" s="45">
        <v>55</v>
      </c>
      <c r="M101" s="48"/>
      <c r="N101" s="49">
        <v>1</v>
      </c>
      <c r="O101" s="48"/>
      <c r="P101" s="48"/>
    </row>
    <row r="102" spans="1:16" ht="15.6" x14ac:dyDescent="0.3">
      <c r="A102" s="54">
        <v>46165</v>
      </c>
      <c r="B102" s="55">
        <v>8473</v>
      </c>
      <c r="C102" s="46" t="s">
        <v>58</v>
      </c>
      <c r="D102" s="46" t="s">
        <v>59</v>
      </c>
      <c r="E102" s="45"/>
      <c r="F102" s="45"/>
      <c r="G102" s="45">
        <v>24</v>
      </c>
      <c r="H102" s="45"/>
      <c r="I102" s="45"/>
      <c r="J102" s="45">
        <v>76</v>
      </c>
      <c r="K102" s="45"/>
      <c r="L102" s="45">
        <v>65</v>
      </c>
      <c r="M102" s="48"/>
      <c r="N102" s="49">
        <v>1</v>
      </c>
      <c r="O102" s="48"/>
      <c r="P102" s="48"/>
    </row>
    <row r="103" spans="1:16" ht="15.6" x14ac:dyDescent="0.3">
      <c r="A103" s="54">
        <v>46165</v>
      </c>
      <c r="B103" s="45">
        <v>24283</v>
      </c>
      <c r="C103" s="45" t="s">
        <v>287</v>
      </c>
      <c r="D103" s="45" t="s">
        <v>288</v>
      </c>
      <c r="E103" s="45"/>
      <c r="F103" s="45"/>
      <c r="G103" s="45">
        <v>27</v>
      </c>
      <c r="H103" s="45"/>
      <c r="I103" s="45"/>
      <c r="J103" s="45">
        <v>79</v>
      </c>
      <c r="K103" s="45"/>
      <c r="L103" s="45">
        <v>55</v>
      </c>
      <c r="M103" s="48"/>
      <c r="N103" s="49">
        <v>1</v>
      </c>
      <c r="O103" s="48"/>
      <c r="P103" s="48"/>
    </row>
    <row r="104" spans="1:16" ht="15.6" x14ac:dyDescent="0.3">
      <c r="A104" s="54">
        <v>46165</v>
      </c>
      <c r="B104" s="45">
        <v>27233</v>
      </c>
      <c r="C104" s="45" t="s">
        <v>193</v>
      </c>
      <c r="D104" s="45" t="s">
        <v>194</v>
      </c>
      <c r="E104" s="45"/>
      <c r="F104" s="45"/>
      <c r="G104" s="45">
        <v>29</v>
      </c>
      <c r="H104" s="45"/>
      <c r="I104" s="45"/>
      <c r="J104" s="45">
        <v>68</v>
      </c>
      <c r="K104" s="45"/>
      <c r="L104" s="45">
        <v>95</v>
      </c>
      <c r="M104" s="48">
        <v>180000</v>
      </c>
      <c r="N104" s="49">
        <v>1</v>
      </c>
      <c r="O104" s="48"/>
      <c r="P104" s="48"/>
    </row>
    <row r="105" spans="1:16" ht="15.6" x14ac:dyDescent="0.3">
      <c r="A105" s="54">
        <v>46171</v>
      </c>
      <c r="B105" s="55">
        <v>4080</v>
      </c>
      <c r="C105" s="46" t="s">
        <v>191</v>
      </c>
      <c r="D105" s="46" t="s">
        <v>106</v>
      </c>
      <c r="E105" s="45">
        <v>14.9</v>
      </c>
      <c r="F105" s="45" t="s">
        <v>377</v>
      </c>
      <c r="G105" s="45">
        <v>16</v>
      </c>
      <c r="H105" s="45"/>
      <c r="I105" s="45">
        <v>95</v>
      </c>
      <c r="J105" s="45">
        <f>I105-G105</f>
        <v>79</v>
      </c>
      <c r="K105" s="45"/>
      <c r="L105" s="45">
        <v>65</v>
      </c>
      <c r="M105" s="48"/>
      <c r="N105" s="49">
        <v>1</v>
      </c>
      <c r="O105" s="48"/>
      <c r="P105" s="48"/>
    </row>
    <row r="106" spans="1:16" ht="15.6" x14ac:dyDescent="0.3">
      <c r="A106" s="54">
        <v>46171</v>
      </c>
      <c r="B106" s="55">
        <v>15107</v>
      </c>
      <c r="C106" s="46" t="s">
        <v>153</v>
      </c>
      <c r="D106" s="46" t="s">
        <v>154</v>
      </c>
      <c r="E106" s="45">
        <v>13.8</v>
      </c>
      <c r="F106" s="45" t="s">
        <v>377</v>
      </c>
      <c r="G106" s="45">
        <v>15</v>
      </c>
      <c r="H106" s="45"/>
      <c r="I106" s="45">
        <v>99</v>
      </c>
      <c r="J106" s="45">
        <f t="shared" ref="J106:J125" si="0">I106-G106</f>
        <v>84</v>
      </c>
      <c r="K106" s="45">
        <v>1</v>
      </c>
      <c r="L106" s="45">
        <v>55</v>
      </c>
      <c r="M106" s="48"/>
      <c r="N106" s="49">
        <v>1</v>
      </c>
      <c r="O106" s="48"/>
      <c r="P106" s="48"/>
    </row>
    <row r="107" spans="1:16" ht="15.6" x14ac:dyDescent="0.3">
      <c r="A107" s="54">
        <v>46171</v>
      </c>
      <c r="B107" s="55">
        <v>17043</v>
      </c>
      <c r="C107" s="46" t="s">
        <v>118</v>
      </c>
      <c r="D107" s="46" t="s">
        <v>119</v>
      </c>
      <c r="E107" s="45">
        <v>17.600000000000001</v>
      </c>
      <c r="F107" s="45" t="s">
        <v>378</v>
      </c>
      <c r="G107" s="45">
        <v>18</v>
      </c>
      <c r="H107" s="45"/>
      <c r="I107" s="45">
        <v>87</v>
      </c>
      <c r="J107" s="45">
        <f t="shared" si="0"/>
        <v>69</v>
      </c>
      <c r="K107" s="45"/>
      <c r="L107" s="45">
        <v>100</v>
      </c>
      <c r="M107" s="48">
        <v>200000</v>
      </c>
      <c r="N107" s="49">
        <v>1</v>
      </c>
      <c r="O107" s="48"/>
      <c r="P107" s="48"/>
    </row>
    <row r="108" spans="1:16" ht="15.6" x14ac:dyDescent="0.3">
      <c r="A108" s="54">
        <v>46171</v>
      </c>
      <c r="B108" s="55">
        <v>28225</v>
      </c>
      <c r="C108" s="46" t="s">
        <v>222</v>
      </c>
      <c r="D108" s="46" t="s">
        <v>233</v>
      </c>
      <c r="E108" s="45">
        <v>13</v>
      </c>
      <c r="F108" s="45" t="s">
        <v>377</v>
      </c>
      <c r="G108" s="45">
        <v>14</v>
      </c>
      <c r="H108" s="45"/>
      <c r="I108" s="45">
        <v>93</v>
      </c>
      <c r="J108" s="45">
        <f t="shared" si="0"/>
        <v>79</v>
      </c>
      <c r="K108" s="45"/>
      <c r="L108" s="45">
        <v>65</v>
      </c>
      <c r="M108" s="48"/>
      <c r="N108" s="49">
        <v>1</v>
      </c>
      <c r="O108" s="48"/>
      <c r="P108" s="48">
        <v>140000</v>
      </c>
    </row>
    <row r="109" spans="1:16" ht="15.6" x14ac:dyDescent="0.3">
      <c r="A109" s="54">
        <v>46171</v>
      </c>
      <c r="B109" s="55">
        <v>30572</v>
      </c>
      <c r="C109" s="46" t="s">
        <v>225</v>
      </c>
      <c r="D109" s="46" t="s">
        <v>226</v>
      </c>
      <c r="E109" s="45">
        <v>22.3</v>
      </c>
      <c r="F109" s="45" t="s">
        <v>378</v>
      </c>
      <c r="G109" s="45">
        <v>20</v>
      </c>
      <c r="H109" s="45"/>
      <c r="I109" s="45">
        <v>95</v>
      </c>
      <c r="J109" s="45">
        <f t="shared" si="0"/>
        <v>75</v>
      </c>
      <c r="K109" s="45"/>
      <c r="L109" s="45">
        <v>80</v>
      </c>
      <c r="M109" s="48"/>
      <c r="N109" s="49">
        <v>1</v>
      </c>
      <c r="O109" s="48"/>
      <c r="P109" s="48"/>
    </row>
    <row r="110" spans="1:16" ht="15.6" x14ac:dyDescent="0.3">
      <c r="A110" s="54">
        <v>46171</v>
      </c>
      <c r="B110" s="56">
        <v>28433</v>
      </c>
      <c r="C110" s="46" t="s">
        <v>353</v>
      </c>
      <c r="D110" s="46" t="s">
        <v>354</v>
      </c>
      <c r="E110" s="45">
        <v>22.7</v>
      </c>
      <c r="F110" s="45" t="s">
        <v>378</v>
      </c>
      <c r="G110" s="45">
        <v>24</v>
      </c>
      <c r="H110" s="45"/>
      <c r="I110" s="45">
        <v>98</v>
      </c>
      <c r="J110" s="45">
        <f t="shared" si="0"/>
        <v>74</v>
      </c>
      <c r="K110" s="45">
        <v>1</v>
      </c>
      <c r="L110" s="45">
        <v>85</v>
      </c>
      <c r="M110" s="48">
        <v>50000</v>
      </c>
      <c r="N110" s="49">
        <v>1</v>
      </c>
      <c r="O110" s="48"/>
      <c r="P110" s="48"/>
    </row>
    <row r="111" spans="1:16" ht="15.6" x14ac:dyDescent="0.3">
      <c r="A111" s="54">
        <v>46171</v>
      </c>
      <c r="B111" s="59">
        <v>21865</v>
      </c>
      <c r="C111" s="51" t="s">
        <v>107</v>
      </c>
      <c r="D111" s="51" t="s">
        <v>108</v>
      </c>
      <c r="E111" s="47">
        <v>15.6</v>
      </c>
      <c r="F111" s="45" t="s">
        <v>378</v>
      </c>
      <c r="G111" s="45">
        <v>15</v>
      </c>
      <c r="H111" s="45"/>
      <c r="I111" s="45">
        <v>92</v>
      </c>
      <c r="J111" s="45">
        <f t="shared" si="0"/>
        <v>77</v>
      </c>
      <c r="K111" s="45"/>
      <c r="L111" s="45">
        <v>75</v>
      </c>
      <c r="M111" s="48"/>
      <c r="N111" s="49">
        <v>1</v>
      </c>
      <c r="O111" s="48"/>
      <c r="P111" s="48"/>
    </row>
    <row r="112" spans="1:16" ht="15.6" x14ac:dyDescent="0.3">
      <c r="A112" s="54">
        <v>46171</v>
      </c>
      <c r="B112" s="45">
        <v>24283</v>
      </c>
      <c r="C112" s="45" t="s">
        <v>287</v>
      </c>
      <c r="D112" s="45" t="s">
        <v>288</v>
      </c>
      <c r="E112" s="45">
        <v>26</v>
      </c>
      <c r="F112" s="45" t="s">
        <v>378</v>
      </c>
      <c r="G112" s="45">
        <v>28</v>
      </c>
      <c r="H112" s="45"/>
      <c r="I112" s="45">
        <v>108</v>
      </c>
      <c r="J112" s="45">
        <f t="shared" si="0"/>
        <v>80</v>
      </c>
      <c r="K112" s="45">
        <v>1</v>
      </c>
      <c r="L112" s="45">
        <v>60</v>
      </c>
      <c r="M112" s="48"/>
      <c r="N112" s="49">
        <v>1</v>
      </c>
      <c r="O112" s="48"/>
      <c r="P112" s="48"/>
    </row>
    <row r="113" spans="1:16" ht="15.6" x14ac:dyDescent="0.3">
      <c r="A113" s="54">
        <v>46171</v>
      </c>
      <c r="B113" s="45">
        <v>19187</v>
      </c>
      <c r="C113" s="45" t="s">
        <v>328</v>
      </c>
      <c r="D113" s="45" t="s">
        <v>200</v>
      </c>
      <c r="E113" s="45">
        <v>13.3</v>
      </c>
      <c r="F113" s="45" t="s">
        <v>377</v>
      </c>
      <c r="G113" s="45">
        <v>14</v>
      </c>
      <c r="H113" s="45"/>
      <c r="I113" s="45">
        <v>98</v>
      </c>
      <c r="J113" s="45">
        <f t="shared" si="0"/>
        <v>84</v>
      </c>
      <c r="K113" s="45">
        <v>1</v>
      </c>
      <c r="L113" s="45">
        <v>55</v>
      </c>
      <c r="M113" s="48"/>
      <c r="N113" s="49">
        <v>1</v>
      </c>
      <c r="O113" s="48"/>
      <c r="P113" s="48"/>
    </row>
    <row r="114" spans="1:16" ht="15.6" x14ac:dyDescent="0.3">
      <c r="A114" s="54">
        <v>46171</v>
      </c>
      <c r="B114" s="55">
        <v>30087</v>
      </c>
      <c r="C114" s="46" t="s">
        <v>149</v>
      </c>
      <c r="D114" s="46" t="s">
        <v>150</v>
      </c>
      <c r="E114" s="47">
        <v>11.4</v>
      </c>
      <c r="F114" s="45" t="s">
        <v>377</v>
      </c>
      <c r="G114" s="45">
        <v>12</v>
      </c>
      <c r="H114" s="45"/>
      <c r="I114" s="45">
        <v>85</v>
      </c>
      <c r="J114" s="45">
        <f t="shared" si="0"/>
        <v>73</v>
      </c>
      <c r="K114" s="45"/>
      <c r="L114" s="45">
        <v>90</v>
      </c>
      <c r="M114" s="48">
        <v>120000</v>
      </c>
      <c r="N114" s="49">
        <v>1</v>
      </c>
      <c r="O114" s="48"/>
      <c r="P114" s="48"/>
    </row>
    <row r="115" spans="1:16" ht="15.6" x14ac:dyDescent="0.3">
      <c r="A115" s="54">
        <v>46171</v>
      </c>
      <c r="B115" s="55">
        <v>7891</v>
      </c>
      <c r="C115" s="46" t="s">
        <v>220</v>
      </c>
      <c r="D115" s="46" t="s">
        <v>221</v>
      </c>
      <c r="E115" s="45">
        <v>21.6</v>
      </c>
      <c r="F115" s="45" t="s">
        <v>378</v>
      </c>
      <c r="G115" s="45">
        <v>18</v>
      </c>
      <c r="H115" s="45"/>
      <c r="I115" s="45">
        <v>106</v>
      </c>
      <c r="J115" s="45">
        <f t="shared" si="0"/>
        <v>88</v>
      </c>
      <c r="K115" s="45"/>
      <c r="L115" s="45">
        <v>50</v>
      </c>
      <c r="M115" s="48"/>
      <c r="N115" s="49">
        <v>1</v>
      </c>
      <c r="O115" s="48"/>
      <c r="P115" s="48"/>
    </row>
    <row r="116" spans="1:16" ht="15.6" x14ac:dyDescent="0.3">
      <c r="A116" s="54">
        <v>46171</v>
      </c>
      <c r="B116" s="55">
        <v>13625</v>
      </c>
      <c r="C116" s="46" t="s">
        <v>222</v>
      </c>
      <c r="D116" s="46" t="s">
        <v>223</v>
      </c>
      <c r="E116" s="45">
        <v>9.8000000000000007</v>
      </c>
      <c r="F116" s="45" t="s">
        <v>377</v>
      </c>
      <c r="G116" s="45">
        <v>10</v>
      </c>
      <c r="H116" s="45"/>
      <c r="I116" s="45">
        <v>88</v>
      </c>
      <c r="J116" s="45">
        <f t="shared" si="0"/>
        <v>78</v>
      </c>
      <c r="K116" s="45"/>
      <c r="L116" s="45">
        <v>70</v>
      </c>
      <c r="M116" s="48"/>
      <c r="N116" s="49">
        <v>1</v>
      </c>
      <c r="O116" s="48"/>
      <c r="P116" s="48"/>
    </row>
    <row r="117" spans="1:16" ht="15.6" x14ac:dyDescent="0.3">
      <c r="A117" s="54">
        <v>46171</v>
      </c>
      <c r="B117" s="55">
        <v>12724</v>
      </c>
      <c r="C117" s="46" t="s">
        <v>460</v>
      </c>
      <c r="D117" s="46" t="s">
        <v>246</v>
      </c>
      <c r="E117" s="45">
        <v>9</v>
      </c>
      <c r="F117" s="45" t="s">
        <v>377</v>
      </c>
      <c r="G117" s="45">
        <v>10</v>
      </c>
      <c r="H117" s="45"/>
      <c r="I117" s="45">
        <v>90</v>
      </c>
      <c r="J117" s="45">
        <f t="shared" si="0"/>
        <v>80</v>
      </c>
      <c r="K117" s="45"/>
      <c r="L117" s="45">
        <v>60</v>
      </c>
      <c r="M117" s="48"/>
      <c r="N117" s="49">
        <v>1</v>
      </c>
      <c r="O117" s="48"/>
      <c r="P117" s="48"/>
    </row>
    <row r="118" spans="1:16" ht="15.6" x14ac:dyDescent="0.3">
      <c r="A118" s="54">
        <v>46171</v>
      </c>
      <c r="B118" s="55">
        <v>8473</v>
      </c>
      <c r="C118" s="46" t="s">
        <v>58</v>
      </c>
      <c r="D118" s="46" t="s">
        <v>59</v>
      </c>
      <c r="E118" s="45">
        <v>23.3</v>
      </c>
      <c r="F118" s="45" t="s">
        <v>378</v>
      </c>
      <c r="G118" s="45">
        <v>24</v>
      </c>
      <c r="H118" s="45"/>
      <c r="I118" s="45">
        <v>113</v>
      </c>
      <c r="J118" s="45">
        <f t="shared" si="0"/>
        <v>89</v>
      </c>
      <c r="K118" s="45"/>
      <c r="L118" s="45">
        <v>45</v>
      </c>
      <c r="M118" s="48"/>
      <c r="N118" s="49">
        <v>1</v>
      </c>
      <c r="O118" s="48"/>
      <c r="P118" s="48"/>
    </row>
    <row r="119" spans="1:16" ht="15.6" x14ac:dyDescent="0.3">
      <c r="A119" s="54">
        <v>46171</v>
      </c>
      <c r="B119" s="62">
        <v>17558</v>
      </c>
      <c r="C119" s="46" t="s">
        <v>333</v>
      </c>
      <c r="D119" s="46" t="s">
        <v>471</v>
      </c>
      <c r="E119" s="45">
        <v>29.8</v>
      </c>
      <c r="F119" s="45" t="s">
        <v>378</v>
      </c>
      <c r="G119" s="45">
        <v>32</v>
      </c>
      <c r="H119" s="45"/>
      <c r="I119" s="45">
        <v>103</v>
      </c>
      <c r="J119" s="45">
        <f t="shared" si="0"/>
        <v>71</v>
      </c>
      <c r="K119" s="45"/>
      <c r="L119" s="45">
        <v>95</v>
      </c>
      <c r="M119" s="48">
        <v>140000</v>
      </c>
      <c r="N119" s="49">
        <v>1</v>
      </c>
      <c r="O119" s="48"/>
      <c r="P119" s="48"/>
    </row>
    <row r="120" spans="1:16" ht="15.6" x14ac:dyDescent="0.3">
      <c r="A120" s="54">
        <v>46171</v>
      </c>
      <c r="B120" s="45">
        <v>9446</v>
      </c>
      <c r="C120" s="45" t="s">
        <v>285</v>
      </c>
      <c r="D120" s="45" t="s">
        <v>286</v>
      </c>
      <c r="E120" s="47">
        <v>12.1</v>
      </c>
      <c r="F120" s="45" t="s">
        <v>377</v>
      </c>
      <c r="G120" s="45">
        <v>12</v>
      </c>
      <c r="H120" s="45"/>
      <c r="I120" s="45">
        <v>86</v>
      </c>
      <c r="J120" s="45">
        <f t="shared" si="0"/>
        <v>74</v>
      </c>
      <c r="K120" s="45">
        <v>1</v>
      </c>
      <c r="L120" s="45">
        <v>85</v>
      </c>
      <c r="M120" s="48">
        <v>50000</v>
      </c>
      <c r="N120" s="49">
        <v>1</v>
      </c>
      <c r="O120" s="48"/>
      <c r="P120" s="48"/>
    </row>
    <row r="121" spans="1:16" ht="15.6" x14ac:dyDescent="0.3">
      <c r="A121" s="54">
        <v>46171</v>
      </c>
      <c r="B121" s="60">
        <v>32142</v>
      </c>
      <c r="C121" s="46" t="s">
        <v>47</v>
      </c>
      <c r="D121" s="46" t="s">
        <v>48</v>
      </c>
      <c r="E121" s="45">
        <v>20.7</v>
      </c>
      <c r="F121" s="45" t="s">
        <v>378</v>
      </c>
      <c r="G121" s="45">
        <v>20</v>
      </c>
      <c r="H121" s="45"/>
      <c r="I121" s="45">
        <v>89</v>
      </c>
      <c r="J121" s="45">
        <f t="shared" si="0"/>
        <v>69</v>
      </c>
      <c r="K121" s="45"/>
      <c r="L121" s="45">
        <v>100</v>
      </c>
      <c r="M121" s="48">
        <v>200000</v>
      </c>
      <c r="N121" s="49">
        <v>1</v>
      </c>
      <c r="O121" s="48"/>
      <c r="P121" s="48"/>
    </row>
    <row r="122" spans="1:16" ht="15.6" x14ac:dyDescent="0.3">
      <c r="A122" s="54">
        <v>46171</v>
      </c>
      <c r="B122" s="45">
        <v>27233</v>
      </c>
      <c r="C122" s="45" t="s">
        <v>193</v>
      </c>
      <c r="D122" s="45" t="s">
        <v>194</v>
      </c>
      <c r="E122" s="45">
        <v>27.1</v>
      </c>
      <c r="F122" s="45" t="s">
        <v>378</v>
      </c>
      <c r="G122" s="45">
        <v>28</v>
      </c>
      <c r="H122" s="45"/>
      <c r="I122" s="45">
        <v>108</v>
      </c>
      <c r="J122" s="45">
        <f t="shared" si="0"/>
        <v>80</v>
      </c>
      <c r="K122" s="45"/>
      <c r="L122" s="45">
        <v>60</v>
      </c>
      <c r="M122" s="48"/>
      <c r="N122" s="49">
        <v>1</v>
      </c>
      <c r="O122" s="48"/>
      <c r="P122" s="48"/>
    </row>
    <row r="123" spans="1:16" ht="15.6" x14ac:dyDescent="0.3">
      <c r="A123" s="54">
        <v>46171</v>
      </c>
      <c r="B123" s="45">
        <v>20941</v>
      </c>
      <c r="C123" s="45" t="s">
        <v>319</v>
      </c>
      <c r="D123" s="45" t="s">
        <v>320</v>
      </c>
      <c r="E123" s="45">
        <v>23.6</v>
      </c>
      <c r="F123" s="45" t="s">
        <v>378</v>
      </c>
      <c r="G123" s="45">
        <v>24</v>
      </c>
      <c r="H123" s="45"/>
      <c r="I123" s="45">
        <v>99</v>
      </c>
      <c r="J123" s="45">
        <f t="shared" si="0"/>
        <v>75</v>
      </c>
      <c r="K123" s="45"/>
      <c r="L123" s="45">
        <v>80</v>
      </c>
      <c r="M123" s="48"/>
      <c r="N123" s="49">
        <v>1</v>
      </c>
      <c r="O123" s="48"/>
      <c r="P123" s="48"/>
    </row>
    <row r="124" spans="1:16" ht="15.6" x14ac:dyDescent="0.3">
      <c r="A124" s="54">
        <v>46171</v>
      </c>
      <c r="B124" s="45">
        <v>22156</v>
      </c>
      <c r="C124" s="45" t="s">
        <v>231</v>
      </c>
      <c r="D124" s="45" t="s">
        <v>232</v>
      </c>
      <c r="E124" s="45">
        <v>18</v>
      </c>
      <c r="F124" s="45" t="s">
        <v>378</v>
      </c>
      <c r="G124" s="45">
        <v>18</v>
      </c>
      <c r="H124" s="45"/>
      <c r="I124" s="45">
        <v>106</v>
      </c>
      <c r="J124" s="45">
        <f t="shared" si="0"/>
        <v>88</v>
      </c>
      <c r="K124" s="45"/>
      <c r="L124" s="45">
        <v>50</v>
      </c>
      <c r="M124" s="48"/>
      <c r="N124" s="49">
        <v>1</v>
      </c>
      <c r="O124" s="48"/>
      <c r="P124" s="48"/>
    </row>
    <row r="125" spans="1:16" ht="15.6" x14ac:dyDescent="0.3">
      <c r="A125" s="54">
        <v>46179</v>
      </c>
      <c r="B125" s="55">
        <v>4080</v>
      </c>
      <c r="C125" s="46" t="s">
        <v>191</v>
      </c>
      <c r="D125" s="46" t="s">
        <v>106</v>
      </c>
      <c r="E125" s="75">
        <v>15.1</v>
      </c>
      <c r="F125" s="55" t="s">
        <v>484</v>
      </c>
      <c r="G125" s="77">
        <v>16</v>
      </c>
      <c r="H125" s="45"/>
      <c r="I125" s="45">
        <v>88</v>
      </c>
      <c r="J125" s="45">
        <f t="shared" si="0"/>
        <v>72</v>
      </c>
      <c r="K125" s="45"/>
      <c r="L125" s="45">
        <v>75</v>
      </c>
      <c r="M125" s="48"/>
      <c r="N125" s="49">
        <v>1</v>
      </c>
      <c r="O125" s="48"/>
      <c r="P125" s="48"/>
    </row>
    <row r="126" spans="1:16" ht="15.6" x14ac:dyDescent="0.3">
      <c r="A126" s="54">
        <v>46179</v>
      </c>
      <c r="B126" s="55">
        <v>17043</v>
      </c>
      <c r="C126" s="46" t="s">
        <v>118</v>
      </c>
      <c r="D126" s="46" t="s">
        <v>119</v>
      </c>
      <c r="E126" s="74">
        <v>17.899999999999999</v>
      </c>
      <c r="F126" s="55" t="s">
        <v>484</v>
      </c>
      <c r="G126" s="77">
        <v>20</v>
      </c>
      <c r="H126" s="45"/>
      <c r="I126" s="45">
        <v>96</v>
      </c>
      <c r="J126" s="45">
        <v>78</v>
      </c>
      <c r="K126" s="45"/>
      <c r="L126" s="45">
        <v>50</v>
      </c>
      <c r="M126" s="48"/>
      <c r="N126" s="49">
        <v>1</v>
      </c>
      <c r="O126" s="48"/>
      <c r="P126" s="48"/>
    </row>
    <row r="127" spans="1:16" ht="15.6" x14ac:dyDescent="0.3">
      <c r="A127" s="54">
        <v>46179</v>
      </c>
      <c r="B127" s="55">
        <v>7891</v>
      </c>
      <c r="C127" s="46" t="s">
        <v>220</v>
      </c>
      <c r="D127" s="46" t="s">
        <v>221</v>
      </c>
      <c r="E127" s="74">
        <v>18.7</v>
      </c>
      <c r="F127" s="55" t="s">
        <v>485</v>
      </c>
      <c r="G127" s="77">
        <v>18</v>
      </c>
      <c r="H127" s="45"/>
      <c r="I127" s="45">
        <v>91</v>
      </c>
      <c r="J127" s="45">
        <v>73</v>
      </c>
      <c r="K127" s="45"/>
      <c r="L127" s="45">
        <v>70</v>
      </c>
      <c r="M127" s="48"/>
      <c r="N127" s="49">
        <v>1</v>
      </c>
      <c r="O127" s="48"/>
      <c r="P127" s="48"/>
    </row>
    <row r="128" spans="1:16" ht="15.6" x14ac:dyDescent="0.3">
      <c r="A128" s="54">
        <v>46179</v>
      </c>
      <c r="B128" s="55">
        <v>12724</v>
      </c>
      <c r="C128" s="46" t="s">
        <v>460</v>
      </c>
      <c r="D128" s="46" t="s">
        <v>246</v>
      </c>
      <c r="E128" s="74">
        <v>10.1</v>
      </c>
      <c r="F128" s="55" t="s">
        <v>484</v>
      </c>
      <c r="G128" s="78">
        <v>10</v>
      </c>
      <c r="H128" s="45"/>
      <c r="I128" s="45">
        <v>90</v>
      </c>
      <c r="J128" s="45">
        <v>80</v>
      </c>
      <c r="K128" s="45"/>
      <c r="L128" s="45">
        <v>45</v>
      </c>
      <c r="M128" s="48"/>
      <c r="N128" s="49">
        <v>1</v>
      </c>
      <c r="O128" s="48"/>
      <c r="P128" s="48"/>
    </row>
    <row r="129" spans="1:16" ht="15.6" x14ac:dyDescent="0.3">
      <c r="A129" s="54">
        <v>46179</v>
      </c>
      <c r="B129" s="59">
        <v>21865</v>
      </c>
      <c r="C129" s="51" t="s">
        <v>107</v>
      </c>
      <c r="D129" s="51" t="s">
        <v>108</v>
      </c>
      <c r="E129" s="74">
        <v>15.7</v>
      </c>
      <c r="F129" s="55" t="s">
        <v>484</v>
      </c>
      <c r="G129" s="78">
        <v>17</v>
      </c>
      <c r="H129" s="45"/>
      <c r="I129" s="45">
        <v>83</v>
      </c>
      <c r="J129" s="45">
        <v>68</v>
      </c>
      <c r="K129" s="45"/>
      <c r="L129" s="45">
        <v>90</v>
      </c>
      <c r="M129" s="48">
        <v>140000</v>
      </c>
      <c r="N129" s="49">
        <v>1</v>
      </c>
      <c r="O129" s="48"/>
      <c r="P129" s="48"/>
    </row>
    <row r="130" spans="1:16" ht="15.6" x14ac:dyDescent="0.3">
      <c r="A130" s="54">
        <v>46179</v>
      </c>
      <c r="B130" s="55">
        <v>15107</v>
      </c>
      <c r="C130" s="46" t="s">
        <v>153</v>
      </c>
      <c r="D130" s="46" t="s">
        <v>154</v>
      </c>
      <c r="E130" s="74">
        <v>15.2</v>
      </c>
      <c r="F130" s="55" t="s">
        <v>484</v>
      </c>
      <c r="G130" s="77">
        <v>16</v>
      </c>
      <c r="H130" s="45"/>
      <c r="I130" s="45">
        <v>104</v>
      </c>
      <c r="J130" s="45">
        <v>88</v>
      </c>
      <c r="K130" s="45">
        <v>1</v>
      </c>
      <c r="L130" s="45">
        <v>30</v>
      </c>
      <c r="M130" s="48"/>
      <c r="N130" s="49">
        <v>1</v>
      </c>
      <c r="O130" s="48"/>
      <c r="P130" s="48">
        <v>180000</v>
      </c>
    </row>
    <row r="131" spans="1:16" ht="15.6" x14ac:dyDescent="0.3">
      <c r="A131" s="54">
        <v>46179</v>
      </c>
      <c r="B131" s="58">
        <v>18908</v>
      </c>
      <c r="C131" s="51" t="s">
        <v>190</v>
      </c>
      <c r="D131" s="51" t="s">
        <v>88</v>
      </c>
      <c r="E131" s="74">
        <v>10.9</v>
      </c>
      <c r="F131" s="55" t="s">
        <v>484</v>
      </c>
      <c r="G131" s="77">
        <v>11</v>
      </c>
      <c r="H131" s="45"/>
      <c r="I131" s="45">
        <v>77</v>
      </c>
      <c r="J131" s="45">
        <v>66</v>
      </c>
      <c r="K131" s="45"/>
      <c r="L131" s="45">
        <v>95</v>
      </c>
      <c r="M131" s="48">
        <v>180000</v>
      </c>
      <c r="N131" s="49">
        <v>1</v>
      </c>
      <c r="O131" s="48"/>
      <c r="P131" s="48"/>
    </row>
    <row r="132" spans="1:16" ht="15.6" x14ac:dyDescent="0.3">
      <c r="A132" s="54">
        <v>46179</v>
      </c>
      <c r="B132" s="56">
        <v>28433</v>
      </c>
      <c r="C132" s="46" t="s">
        <v>353</v>
      </c>
      <c r="D132" s="46" t="s">
        <v>354</v>
      </c>
      <c r="E132" s="74">
        <v>23.3</v>
      </c>
      <c r="F132" s="55" t="s">
        <v>485</v>
      </c>
      <c r="G132" s="77">
        <v>24</v>
      </c>
      <c r="H132" s="45"/>
      <c r="I132" s="45">
        <v>98</v>
      </c>
      <c r="J132" s="45">
        <v>74</v>
      </c>
      <c r="K132" s="45">
        <v>1</v>
      </c>
      <c r="L132" s="45">
        <v>65</v>
      </c>
      <c r="M132" s="48"/>
      <c r="N132" s="49">
        <v>1</v>
      </c>
      <c r="O132" s="48"/>
      <c r="P132" s="48"/>
    </row>
    <row r="133" spans="1:16" ht="15.6" x14ac:dyDescent="0.3">
      <c r="A133" s="54">
        <v>46179</v>
      </c>
      <c r="B133" s="45">
        <v>9446</v>
      </c>
      <c r="C133" s="45" t="s">
        <v>285</v>
      </c>
      <c r="D133" s="45" t="s">
        <v>286</v>
      </c>
      <c r="E133" s="74">
        <v>11.8</v>
      </c>
      <c r="F133" s="55" t="s">
        <v>484</v>
      </c>
      <c r="G133" s="77">
        <v>12</v>
      </c>
      <c r="H133" s="45"/>
      <c r="I133" s="45">
        <v>88</v>
      </c>
      <c r="J133" s="45">
        <v>76</v>
      </c>
      <c r="K133" s="45">
        <v>1</v>
      </c>
      <c r="L133" s="45">
        <v>55</v>
      </c>
      <c r="M133" s="48"/>
      <c r="N133" s="49">
        <v>1</v>
      </c>
      <c r="O133" s="48"/>
      <c r="P133" s="48"/>
    </row>
    <row r="134" spans="1:16" ht="15.6" x14ac:dyDescent="0.3">
      <c r="A134" s="54">
        <v>46179</v>
      </c>
      <c r="B134" s="45">
        <v>27233</v>
      </c>
      <c r="C134" s="45" t="s">
        <v>193</v>
      </c>
      <c r="D134" s="45" t="s">
        <v>194</v>
      </c>
      <c r="E134" s="74">
        <v>27.2</v>
      </c>
      <c r="F134" s="55" t="s">
        <v>485</v>
      </c>
      <c r="G134" s="77">
        <v>28</v>
      </c>
      <c r="H134" s="45"/>
      <c r="I134" s="45">
        <v>110</v>
      </c>
      <c r="J134" s="45">
        <v>82</v>
      </c>
      <c r="K134" s="45"/>
      <c r="L134" s="45">
        <v>35</v>
      </c>
      <c r="M134" s="48"/>
      <c r="N134" s="49">
        <v>1</v>
      </c>
      <c r="O134" s="48"/>
      <c r="P134" s="48"/>
    </row>
    <row r="135" spans="1:16" ht="15.6" x14ac:dyDescent="0.3">
      <c r="A135" s="54">
        <v>46179</v>
      </c>
      <c r="B135" s="70">
        <v>24140</v>
      </c>
      <c r="C135" s="71" t="s">
        <v>363</v>
      </c>
      <c r="D135" s="71" t="s">
        <v>119</v>
      </c>
      <c r="E135" s="74">
        <v>23.3</v>
      </c>
      <c r="F135" s="55" t="s">
        <v>485</v>
      </c>
      <c r="G135" s="78">
        <v>24</v>
      </c>
      <c r="H135" s="45"/>
      <c r="I135" s="45">
        <v>102</v>
      </c>
      <c r="J135" s="45">
        <v>78</v>
      </c>
      <c r="K135" s="45"/>
      <c r="L135" s="45">
        <v>50</v>
      </c>
      <c r="M135" s="48"/>
      <c r="N135" s="49">
        <v>1</v>
      </c>
      <c r="O135" s="48"/>
      <c r="P135" s="48"/>
    </row>
    <row r="136" spans="1:16" ht="15.6" x14ac:dyDescent="0.3">
      <c r="A136" s="54">
        <v>46179</v>
      </c>
      <c r="B136" s="45">
        <v>22156</v>
      </c>
      <c r="C136" s="45" t="s">
        <v>231</v>
      </c>
      <c r="D136" s="45" t="s">
        <v>232</v>
      </c>
      <c r="E136" s="74">
        <v>18</v>
      </c>
      <c r="F136" s="55" t="s">
        <v>485</v>
      </c>
      <c r="G136" s="77">
        <v>18</v>
      </c>
      <c r="H136" s="45"/>
      <c r="I136" s="45">
        <v>92</v>
      </c>
      <c r="J136" s="45">
        <v>74</v>
      </c>
      <c r="K136" s="45"/>
      <c r="L136" s="45">
        <v>65</v>
      </c>
      <c r="M136" s="48"/>
      <c r="N136" s="49">
        <v>1</v>
      </c>
      <c r="O136" s="48"/>
      <c r="P136" s="48"/>
    </row>
    <row r="137" spans="1:16" ht="15.6" x14ac:dyDescent="0.3">
      <c r="A137" s="54">
        <v>46179</v>
      </c>
      <c r="B137" s="55">
        <v>16260</v>
      </c>
      <c r="C137" s="46" t="s">
        <v>270</v>
      </c>
      <c r="D137" s="46" t="s">
        <v>271</v>
      </c>
      <c r="E137" s="74">
        <v>16.7</v>
      </c>
      <c r="F137" s="55" t="s">
        <v>484</v>
      </c>
      <c r="G137" s="77">
        <v>18</v>
      </c>
      <c r="H137" s="45"/>
      <c r="I137" s="45">
        <v>89</v>
      </c>
      <c r="J137" s="45">
        <v>71</v>
      </c>
      <c r="K137" s="45"/>
      <c r="L137" s="45">
        <v>80</v>
      </c>
      <c r="M137" s="48">
        <v>80000</v>
      </c>
      <c r="N137" s="49">
        <v>1</v>
      </c>
      <c r="O137" s="48"/>
      <c r="P137" s="48"/>
    </row>
    <row r="138" spans="1:16" ht="15.6" x14ac:dyDescent="0.3">
      <c r="A138" s="54">
        <v>46179</v>
      </c>
      <c r="B138" s="55">
        <v>16552</v>
      </c>
      <c r="C138" s="46" t="s">
        <v>272</v>
      </c>
      <c r="D138" s="46" t="s">
        <v>273</v>
      </c>
      <c r="E138" s="74">
        <v>11.6</v>
      </c>
      <c r="F138" s="55" t="s">
        <v>484</v>
      </c>
      <c r="G138" s="77">
        <v>12</v>
      </c>
      <c r="H138" s="45"/>
      <c r="I138" s="45">
        <v>88</v>
      </c>
      <c r="J138" s="45">
        <v>76</v>
      </c>
      <c r="K138" s="45"/>
      <c r="L138" s="45">
        <v>55</v>
      </c>
      <c r="M138" s="48"/>
      <c r="N138" s="49">
        <v>1</v>
      </c>
      <c r="O138" s="48"/>
      <c r="P138" s="48"/>
    </row>
    <row r="139" spans="1:16" ht="15.6" x14ac:dyDescent="0.3">
      <c r="A139" s="54">
        <v>46179</v>
      </c>
      <c r="B139" s="55">
        <v>30087</v>
      </c>
      <c r="C139" s="46" t="s">
        <v>149</v>
      </c>
      <c r="D139" s="46" t="s">
        <v>150</v>
      </c>
      <c r="E139" s="74">
        <v>11.4</v>
      </c>
      <c r="F139" s="55" t="s">
        <v>484</v>
      </c>
      <c r="G139" s="78">
        <v>12</v>
      </c>
      <c r="H139" s="45"/>
      <c r="I139" s="45">
        <v>81</v>
      </c>
      <c r="J139" s="45">
        <v>69</v>
      </c>
      <c r="K139" s="45">
        <v>1</v>
      </c>
      <c r="L139" s="45">
        <v>85</v>
      </c>
      <c r="M139" s="48">
        <v>100000</v>
      </c>
      <c r="N139" s="49">
        <v>1</v>
      </c>
      <c r="O139" s="48"/>
      <c r="P139" s="48"/>
    </row>
    <row r="140" spans="1:16" ht="15.6" x14ac:dyDescent="0.3">
      <c r="A140" s="54">
        <v>46179</v>
      </c>
      <c r="B140" s="60">
        <v>32142</v>
      </c>
      <c r="C140" s="46" t="s">
        <v>47</v>
      </c>
      <c r="D140" s="46" t="s">
        <v>48</v>
      </c>
      <c r="E140" s="74">
        <v>19.5</v>
      </c>
      <c r="F140" s="55" t="s">
        <v>485</v>
      </c>
      <c r="G140" s="77">
        <v>19</v>
      </c>
      <c r="H140" s="45"/>
      <c r="I140" s="45">
        <v>107</v>
      </c>
      <c r="J140" s="45">
        <v>88</v>
      </c>
      <c r="K140" s="45"/>
      <c r="L140" s="45">
        <v>30</v>
      </c>
      <c r="M140" s="48"/>
      <c r="N140" s="49">
        <v>1</v>
      </c>
      <c r="O140" s="48"/>
      <c r="P140" s="48"/>
    </row>
    <row r="141" spans="1:16" ht="15.6" x14ac:dyDescent="0.3">
      <c r="A141" s="54">
        <v>46179</v>
      </c>
      <c r="B141" s="45">
        <v>20941</v>
      </c>
      <c r="C141" s="45" t="s">
        <v>319</v>
      </c>
      <c r="D141" s="45" t="s">
        <v>320</v>
      </c>
      <c r="E141" s="74">
        <v>23.6</v>
      </c>
      <c r="F141" s="55" t="s">
        <v>485</v>
      </c>
      <c r="G141" s="79">
        <v>24</v>
      </c>
      <c r="H141" s="45"/>
      <c r="I141" s="45">
        <v>105</v>
      </c>
      <c r="J141" s="45">
        <v>81</v>
      </c>
      <c r="K141" s="45"/>
      <c r="L141" s="45">
        <v>40</v>
      </c>
      <c r="M141" s="48"/>
      <c r="N141" s="49">
        <v>1</v>
      </c>
      <c r="O141" s="48"/>
      <c r="P141" s="48"/>
    </row>
    <row r="142" spans="1:16" ht="15.6" x14ac:dyDescent="0.3">
      <c r="A142" s="54">
        <v>46179</v>
      </c>
      <c r="B142" s="55">
        <v>26953</v>
      </c>
      <c r="C142" s="46" t="s">
        <v>120</v>
      </c>
      <c r="D142" s="46" t="s">
        <v>121</v>
      </c>
      <c r="E142" s="74">
        <v>9.1999999999999993</v>
      </c>
      <c r="F142" s="55" t="s">
        <v>484</v>
      </c>
      <c r="G142" s="80">
        <v>9</v>
      </c>
      <c r="H142" s="45"/>
      <c r="I142" s="45">
        <v>85</v>
      </c>
      <c r="J142" s="45">
        <v>76</v>
      </c>
      <c r="K142" s="45"/>
      <c r="L142" s="45">
        <v>55</v>
      </c>
      <c r="M142" s="48"/>
      <c r="N142" s="49">
        <v>1</v>
      </c>
      <c r="O142" s="48"/>
      <c r="P142" s="48"/>
    </row>
    <row r="143" spans="1:16" ht="15.6" x14ac:dyDescent="0.3">
      <c r="A143" s="54">
        <v>46179</v>
      </c>
      <c r="B143" s="56">
        <v>14084</v>
      </c>
      <c r="C143" s="46" t="s">
        <v>39</v>
      </c>
      <c r="D143" s="46" t="s">
        <v>40</v>
      </c>
      <c r="E143" s="47">
        <v>14.1</v>
      </c>
      <c r="F143" s="60" t="s">
        <v>484</v>
      </c>
      <c r="G143" s="45">
        <v>15</v>
      </c>
      <c r="H143" s="45"/>
      <c r="I143" s="45">
        <v>90</v>
      </c>
      <c r="J143" s="45">
        <v>75</v>
      </c>
      <c r="K143" s="45">
        <v>1</v>
      </c>
      <c r="L143" s="45">
        <v>60</v>
      </c>
      <c r="M143" s="48"/>
      <c r="N143" s="49">
        <v>1</v>
      </c>
      <c r="O143" s="48"/>
      <c r="P143" s="48"/>
    </row>
    <row r="144" spans="1:16" ht="15.6" x14ac:dyDescent="0.3">
      <c r="A144" s="54">
        <v>46179</v>
      </c>
      <c r="B144" s="55">
        <v>28225</v>
      </c>
      <c r="C144" s="46" t="s">
        <v>222</v>
      </c>
      <c r="D144" s="46" t="s">
        <v>233</v>
      </c>
      <c r="E144" s="45">
        <v>13.3</v>
      </c>
      <c r="F144" s="60" t="s">
        <v>484</v>
      </c>
      <c r="G144" s="45">
        <v>14</v>
      </c>
      <c r="H144" s="45"/>
      <c r="I144" s="45">
        <v>79</v>
      </c>
      <c r="J144" s="45">
        <v>65</v>
      </c>
      <c r="K144" s="45">
        <v>1</v>
      </c>
      <c r="L144" s="45">
        <v>100</v>
      </c>
      <c r="M144" s="48">
        <v>220000</v>
      </c>
      <c r="N144" s="49">
        <v>1</v>
      </c>
      <c r="O144" s="48"/>
      <c r="P144" s="48"/>
    </row>
    <row r="145" spans="1:16" ht="15.6" x14ac:dyDescent="0.3">
      <c r="A145" s="54">
        <v>46186</v>
      </c>
      <c r="B145" s="58">
        <v>18908</v>
      </c>
      <c r="C145" s="51" t="s">
        <v>190</v>
      </c>
      <c r="D145" s="51" t="s">
        <v>88</v>
      </c>
      <c r="E145" s="74">
        <v>10.4</v>
      </c>
      <c r="F145" s="55" t="s">
        <v>484</v>
      </c>
      <c r="G145" s="77">
        <v>10</v>
      </c>
      <c r="H145" s="45"/>
      <c r="I145" s="45">
        <v>82</v>
      </c>
      <c r="J145" s="45">
        <f t="shared" ref="J145:J149" si="1">I145-G145</f>
        <v>72</v>
      </c>
      <c r="K145" s="45"/>
      <c r="L145" s="45">
        <v>90</v>
      </c>
      <c r="M145" s="48">
        <v>50000</v>
      </c>
      <c r="N145" s="49">
        <v>1</v>
      </c>
      <c r="O145" s="48"/>
      <c r="P145" s="48"/>
    </row>
    <row r="146" spans="1:16" ht="15.6" x14ac:dyDescent="0.3">
      <c r="A146" s="54">
        <v>46186</v>
      </c>
      <c r="B146" s="55">
        <v>28225</v>
      </c>
      <c r="C146" s="46" t="s">
        <v>222</v>
      </c>
      <c r="D146" s="46" t="s">
        <v>233</v>
      </c>
      <c r="E146" s="45">
        <v>12.8</v>
      </c>
      <c r="F146" s="60" t="s">
        <v>484</v>
      </c>
      <c r="G146" s="45">
        <v>13</v>
      </c>
      <c r="H146" s="45"/>
      <c r="I146" s="45">
        <v>93</v>
      </c>
      <c r="J146" s="45">
        <f t="shared" si="1"/>
        <v>80</v>
      </c>
      <c r="K146" s="45"/>
      <c r="L146" s="45">
        <v>55</v>
      </c>
      <c r="M146" s="48"/>
      <c r="N146" s="49">
        <v>1</v>
      </c>
      <c r="O146" s="48"/>
      <c r="P146" s="48"/>
    </row>
    <row r="147" spans="1:16" ht="15.6" x14ac:dyDescent="0.3">
      <c r="A147" s="54">
        <v>46186</v>
      </c>
      <c r="B147" s="56">
        <v>28433</v>
      </c>
      <c r="C147" s="46" t="s">
        <v>353</v>
      </c>
      <c r="D147" s="46" t="s">
        <v>354</v>
      </c>
      <c r="E147" s="74">
        <v>23.1</v>
      </c>
      <c r="F147" s="55" t="s">
        <v>485</v>
      </c>
      <c r="G147" s="77">
        <v>23</v>
      </c>
      <c r="H147" s="45"/>
      <c r="I147" s="45">
        <v>98</v>
      </c>
      <c r="J147" s="45">
        <f t="shared" si="1"/>
        <v>75</v>
      </c>
      <c r="K147" s="45"/>
      <c r="L147" s="45">
        <v>80</v>
      </c>
      <c r="M147" s="48"/>
      <c r="N147" s="49">
        <v>1</v>
      </c>
      <c r="O147" s="48"/>
      <c r="P147" s="48"/>
    </row>
    <row r="148" spans="1:16" ht="15.6" x14ac:dyDescent="0.3">
      <c r="A148" s="54">
        <v>46186</v>
      </c>
      <c r="B148" s="55">
        <v>7891</v>
      </c>
      <c r="C148" s="46" t="s">
        <v>220</v>
      </c>
      <c r="D148" s="46" t="s">
        <v>221</v>
      </c>
      <c r="E148" s="74">
        <v>18.7</v>
      </c>
      <c r="F148" s="55" t="s">
        <v>485</v>
      </c>
      <c r="G148" s="77">
        <v>18</v>
      </c>
      <c r="H148" s="45"/>
      <c r="I148" s="45">
        <v>92</v>
      </c>
      <c r="J148" s="45">
        <f t="shared" si="1"/>
        <v>74</v>
      </c>
      <c r="K148" s="45"/>
      <c r="L148" s="45">
        <v>85</v>
      </c>
      <c r="M148" s="48"/>
      <c r="N148" s="49">
        <v>1</v>
      </c>
      <c r="O148" s="48"/>
      <c r="P148" s="48"/>
    </row>
    <row r="149" spans="1:16" ht="15.6" x14ac:dyDescent="0.3">
      <c r="A149" s="54">
        <v>46186</v>
      </c>
      <c r="B149" s="55">
        <v>30572</v>
      </c>
      <c r="C149" s="46" t="s">
        <v>225</v>
      </c>
      <c r="D149" s="46" t="s">
        <v>226</v>
      </c>
      <c r="E149" s="45">
        <v>22.3</v>
      </c>
      <c r="F149" s="45" t="s">
        <v>378</v>
      </c>
      <c r="G149" s="45">
        <v>20</v>
      </c>
      <c r="H149" s="45"/>
      <c r="I149" s="45">
        <v>97</v>
      </c>
      <c r="J149" s="45">
        <f t="shared" si="1"/>
        <v>77</v>
      </c>
      <c r="K149" s="45"/>
      <c r="L149" s="45">
        <v>70</v>
      </c>
      <c r="M149" s="48"/>
      <c r="N149" s="49">
        <v>1</v>
      </c>
      <c r="O149" s="48"/>
      <c r="P149" s="48"/>
    </row>
    <row r="150" spans="1:16" ht="15.6" x14ac:dyDescent="0.3">
      <c r="A150" s="54">
        <v>46186</v>
      </c>
      <c r="B150" s="55">
        <v>30087</v>
      </c>
      <c r="C150" s="46" t="s">
        <v>149</v>
      </c>
      <c r="D150" s="46" t="s">
        <v>150</v>
      </c>
      <c r="E150" s="74">
        <v>11.4</v>
      </c>
      <c r="F150" s="55" t="s">
        <v>484</v>
      </c>
      <c r="G150" s="78">
        <v>12</v>
      </c>
      <c r="H150" s="45"/>
      <c r="I150" s="45">
        <v>81</v>
      </c>
      <c r="J150" s="45">
        <f>I150-G150</f>
        <v>69</v>
      </c>
      <c r="K150" s="45">
        <v>1</v>
      </c>
      <c r="L150" s="45">
        <v>100</v>
      </c>
      <c r="M150" s="48">
        <v>160000</v>
      </c>
      <c r="N150" s="49">
        <v>1</v>
      </c>
      <c r="O150" s="48"/>
      <c r="P150" s="48"/>
    </row>
    <row r="151" spans="1:16" ht="15.6" x14ac:dyDescent="0.3">
      <c r="A151" s="54">
        <v>46186</v>
      </c>
      <c r="B151" s="55">
        <v>17043</v>
      </c>
      <c r="C151" s="46" t="s">
        <v>118</v>
      </c>
      <c r="D151" s="46" t="s">
        <v>119</v>
      </c>
      <c r="E151" s="74">
        <v>17.899999999999999</v>
      </c>
      <c r="F151" s="55" t="s">
        <v>485</v>
      </c>
      <c r="G151" s="77">
        <v>18</v>
      </c>
      <c r="H151" s="45"/>
      <c r="I151" s="45">
        <v>94</v>
      </c>
      <c r="J151" s="45">
        <f t="shared" ref="J151:J207" si="2">I151-G151</f>
        <v>76</v>
      </c>
      <c r="K151" s="45"/>
      <c r="L151" s="45">
        <v>75</v>
      </c>
      <c r="M151" s="48"/>
      <c r="N151" s="49">
        <v>1</v>
      </c>
      <c r="O151" s="48"/>
      <c r="P151" s="48"/>
    </row>
    <row r="152" spans="1:16" ht="15.6" x14ac:dyDescent="0.3">
      <c r="A152" s="54">
        <v>46186</v>
      </c>
      <c r="B152" s="55">
        <v>15107</v>
      </c>
      <c r="C152" s="46" t="s">
        <v>153</v>
      </c>
      <c r="D152" s="46" t="s">
        <v>154</v>
      </c>
      <c r="E152" s="74">
        <v>16.600000000000001</v>
      </c>
      <c r="F152" s="55" t="s">
        <v>484</v>
      </c>
      <c r="G152" s="77">
        <v>18</v>
      </c>
      <c r="H152" s="45"/>
      <c r="I152" s="45">
        <v>96</v>
      </c>
      <c r="J152" s="45">
        <f t="shared" si="2"/>
        <v>78</v>
      </c>
      <c r="K152" s="45">
        <v>1</v>
      </c>
      <c r="L152" s="45">
        <v>65</v>
      </c>
      <c r="M152" s="48"/>
      <c r="N152" s="49">
        <v>1</v>
      </c>
      <c r="O152" s="48"/>
      <c r="P152" s="48">
        <v>140000</v>
      </c>
    </row>
    <row r="153" spans="1:16" ht="15.6" x14ac:dyDescent="0.3">
      <c r="A153" s="54">
        <v>46186</v>
      </c>
      <c r="B153" s="45">
        <v>24283</v>
      </c>
      <c r="C153" s="45" t="s">
        <v>287</v>
      </c>
      <c r="D153" s="45" t="s">
        <v>288</v>
      </c>
      <c r="E153" s="45">
        <v>26</v>
      </c>
      <c r="F153" s="45" t="s">
        <v>378</v>
      </c>
      <c r="G153" s="45">
        <v>28</v>
      </c>
      <c r="H153" s="45"/>
      <c r="I153" s="45">
        <v>104</v>
      </c>
      <c r="J153" s="45">
        <f t="shared" si="2"/>
        <v>76</v>
      </c>
      <c r="K153" s="45"/>
      <c r="L153" s="45">
        <v>75</v>
      </c>
      <c r="M153" s="48"/>
      <c r="N153" s="49">
        <v>1</v>
      </c>
      <c r="O153" s="48"/>
      <c r="P153" s="48"/>
    </row>
    <row r="154" spans="1:16" ht="15.6" x14ac:dyDescent="0.3">
      <c r="A154" s="54">
        <v>46186</v>
      </c>
      <c r="B154" s="55">
        <v>16552</v>
      </c>
      <c r="C154" s="46" t="s">
        <v>272</v>
      </c>
      <c r="D154" s="46" t="s">
        <v>273</v>
      </c>
      <c r="E154" s="74">
        <v>11.6</v>
      </c>
      <c r="F154" s="55" t="s">
        <v>484</v>
      </c>
      <c r="G154" s="77">
        <v>12</v>
      </c>
      <c r="H154" s="45"/>
      <c r="I154" s="45">
        <v>84</v>
      </c>
      <c r="J154" s="45">
        <f t="shared" si="2"/>
        <v>72</v>
      </c>
      <c r="K154" s="45"/>
      <c r="L154" s="45">
        <v>90</v>
      </c>
      <c r="M154" s="48">
        <v>50000</v>
      </c>
      <c r="N154" s="49">
        <v>1</v>
      </c>
      <c r="O154" s="48"/>
      <c r="P154" s="48"/>
    </row>
    <row r="155" spans="1:16" ht="15.6" x14ac:dyDescent="0.3">
      <c r="A155" s="54">
        <v>46186</v>
      </c>
      <c r="B155" s="45">
        <v>19187</v>
      </c>
      <c r="C155" s="45" t="s">
        <v>328</v>
      </c>
      <c r="D155" s="45" t="s">
        <v>200</v>
      </c>
      <c r="E155" s="45">
        <v>13.3</v>
      </c>
      <c r="F155" s="45" t="s">
        <v>377</v>
      </c>
      <c r="G155" s="45">
        <v>14</v>
      </c>
      <c r="H155" s="45"/>
      <c r="I155" s="45">
        <v>93</v>
      </c>
      <c r="J155" s="45">
        <f t="shared" si="2"/>
        <v>79</v>
      </c>
      <c r="K155" s="45"/>
      <c r="L155" s="45">
        <v>60</v>
      </c>
      <c r="M155" s="48"/>
      <c r="N155" s="49">
        <v>1</v>
      </c>
      <c r="O155" s="48"/>
      <c r="P155" s="48"/>
    </row>
    <row r="156" spans="1:16" ht="15.6" x14ac:dyDescent="0.3">
      <c r="A156" s="54">
        <v>46186</v>
      </c>
      <c r="B156" s="55">
        <v>16260</v>
      </c>
      <c r="C156" s="46" t="s">
        <v>270</v>
      </c>
      <c r="D156" s="46" t="s">
        <v>271</v>
      </c>
      <c r="E156" s="74">
        <v>16.7</v>
      </c>
      <c r="F156" s="46" t="s">
        <v>484</v>
      </c>
      <c r="G156" s="77">
        <v>18</v>
      </c>
      <c r="H156" s="45"/>
      <c r="I156" s="45">
        <v>88</v>
      </c>
      <c r="J156" s="45">
        <f t="shared" si="2"/>
        <v>70</v>
      </c>
      <c r="K156" s="45"/>
      <c r="L156" s="45">
        <v>95</v>
      </c>
      <c r="M156" s="48">
        <v>140000</v>
      </c>
      <c r="N156" s="49">
        <v>1</v>
      </c>
      <c r="O156" s="48"/>
      <c r="P156" s="48"/>
    </row>
    <row r="157" spans="1:16" ht="15.6" x14ac:dyDescent="0.3">
      <c r="A157" s="54">
        <v>46192</v>
      </c>
      <c r="B157" s="55">
        <v>17043</v>
      </c>
      <c r="C157" s="46" t="s">
        <v>118</v>
      </c>
      <c r="D157" s="46" t="s">
        <v>119</v>
      </c>
      <c r="E157" s="95" t="s">
        <v>487</v>
      </c>
      <c r="F157" s="96" t="s">
        <v>485</v>
      </c>
      <c r="G157" s="95" t="s">
        <v>488</v>
      </c>
      <c r="H157" s="45"/>
      <c r="I157" s="45">
        <v>96</v>
      </c>
      <c r="J157" s="45">
        <f t="shared" si="2"/>
        <v>78</v>
      </c>
      <c r="K157" s="45"/>
      <c r="L157" s="45">
        <v>70</v>
      </c>
      <c r="M157" s="48"/>
      <c r="N157" s="49">
        <v>1</v>
      </c>
      <c r="O157" s="48"/>
      <c r="P157" s="48"/>
    </row>
    <row r="158" spans="1:16" ht="15.6" x14ac:dyDescent="0.3">
      <c r="A158" s="54">
        <v>46192</v>
      </c>
      <c r="B158" s="55">
        <v>28225</v>
      </c>
      <c r="C158" s="46" t="s">
        <v>222</v>
      </c>
      <c r="D158" s="46" t="s">
        <v>233</v>
      </c>
      <c r="E158" s="95" t="s">
        <v>489</v>
      </c>
      <c r="F158" s="96" t="s">
        <v>484</v>
      </c>
      <c r="G158" s="95" t="s">
        <v>490</v>
      </c>
      <c r="H158" s="45"/>
      <c r="I158" s="45">
        <v>82</v>
      </c>
      <c r="J158" s="45">
        <f t="shared" si="2"/>
        <v>69</v>
      </c>
      <c r="K158" s="45">
        <v>1</v>
      </c>
      <c r="L158" s="45">
        <v>95</v>
      </c>
      <c r="M158" s="48">
        <v>170000</v>
      </c>
      <c r="N158" s="49">
        <v>1</v>
      </c>
      <c r="O158" s="48"/>
      <c r="P158" s="48">
        <v>170000</v>
      </c>
    </row>
    <row r="159" spans="1:16" ht="15.6" x14ac:dyDescent="0.3">
      <c r="A159" s="54">
        <v>46192</v>
      </c>
      <c r="B159" s="55">
        <v>15107</v>
      </c>
      <c r="C159" s="46" t="s">
        <v>153</v>
      </c>
      <c r="D159" s="46" t="s">
        <v>154</v>
      </c>
      <c r="E159" s="95" t="s">
        <v>491</v>
      </c>
      <c r="F159" s="96" t="s">
        <v>484</v>
      </c>
      <c r="G159" s="95" t="s">
        <v>492</v>
      </c>
      <c r="H159" s="45"/>
      <c r="I159" s="45">
        <v>95</v>
      </c>
      <c r="J159" s="45">
        <f t="shared" si="2"/>
        <v>76</v>
      </c>
      <c r="K159" s="45">
        <v>1</v>
      </c>
      <c r="L159" s="45">
        <v>80</v>
      </c>
      <c r="M159" s="48"/>
      <c r="N159" s="49">
        <v>1</v>
      </c>
      <c r="O159" s="48"/>
      <c r="P159" s="48"/>
    </row>
    <row r="160" spans="1:16" ht="15.6" x14ac:dyDescent="0.3">
      <c r="A160" s="54">
        <v>46192</v>
      </c>
      <c r="B160" s="56">
        <v>28433</v>
      </c>
      <c r="C160" s="46" t="s">
        <v>353</v>
      </c>
      <c r="D160" s="46" t="s">
        <v>354</v>
      </c>
      <c r="E160" s="95" t="s">
        <v>493</v>
      </c>
      <c r="F160" s="96" t="s">
        <v>485</v>
      </c>
      <c r="G160" s="95" t="s">
        <v>494</v>
      </c>
      <c r="H160" s="45"/>
      <c r="I160" s="45">
        <v>117</v>
      </c>
      <c r="J160" s="45">
        <f t="shared" si="2"/>
        <v>94</v>
      </c>
      <c r="K160" s="45">
        <v>1</v>
      </c>
      <c r="L160" s="45">
        <v>40</v>
      </c>
      <c r="M160" s="48"/>
      <c r="N160" s="49">
        <v>1</v>
      </c>
      <c r="O160" s="48"/>
      <c r="P160" s="48"/>
    </row>
    <row r="161" spans="1:16" ht="15.6" x14ac:dyDescent="0.3">
      <c r="A161" s="54">
        <v>46192</v>
      </c>
      <c r="B161" s="59">
        <v>21865</v>
      </c>
      <c r="C161" s="51" t="s">
        <v>107</v>
      </c>
      <c r="D161" s="51" t="s">
        <v>108</v>
      </c>
      <c r="E161" s="95">
        <v>16.100000000000001</v>
      </c>
      <c r="F161" s="96" t="s">
        <v>485</v>
      </c>
      <c r="G161" s="95">
        <v>16</v>
      </c>
      <c r="H161" s="45"/>
      <c r="I161" s="45">
        <v>97</v>
      </c>
      <c r="J161" s="45">
        <f t="shared" si="2"/>
        <v>81</v>
      </c>
      <c r="K161" s="45"/>
      <c r="L161" s="45">
        <v>55</v>
      </c>
      <c r="M161" s="48"/>
      <c r="N161" s="49">
        <v>1</v>
      </c>
      <c r="O161" s="48"/>
      <c r="P161" s="48"/>
    </row>
    <row r="162" spans="1:16" ht="15.6" x14ac:dyDescent="0.3">
      <c r="A162" s="54">
        <v>46192</v>
      </c>
      <c r="B162" s="55">
        <v>30087</v>
      </c>
      <c r="C162" s="46" t="s">
        <v>149</v>
      </c>
      <c r="D162" s="46" t="s">
        <v>150</v>
      </c>
      <c r="E162" s="95" t="s">
        <v>496</v>
      </c>
      <c r="F162" s="96" t="s">
        <v>484</v>
      </c>
      <c r="G162" s="95" t="s">
        <v>497</v>
      </c>
      <c r="H162" s="45"/>
      <c r="I162" s="45">
        <v>80</v>
      </c>
      <c r="J162" s="45">
        <f t="shared" si="2"/>
        <v>68</v>
      </c>
      <c r="K162" s="45">
        <v>1</v>
      </c>
      <c r="L162" s="45">
        <v>100</v>
      </c>
      <c r="M162" s="48">
        <v>190000</v>
      </c>
      <c r="N162" s="49">
        <v>1</v>
      </c>
      <c r="O162" s="48"/>
      <c r="P162" s="48"/>
    </row>
    <row r="163" spans="1:16" ht="15.6" x14ac:dyDescent="0.3">
      <c r="A163" s="54">
        <v>46192</v>
      </c>
      <c r="B163" s="55">
        <v>7891</v>
      </c>
      <c r="C163" s="46" t="s">
        <v>220</v>
      </c>
      <c r="D163" s="46" t="s">
        <v>221</v>
      </c>
      <c r="E163" s="95" t="s">
        <v>499</v>
      </c>
      <c r="F163" s="96" t="s">
        <v>485</v>
      </c>
      <c r="G163" s="95" t="s">
        <v>492</v>
      </c>
      <c r="H163" s="45"/>
      <c r="I163" s="45">
        <v>94</v>
      </c>
      <c r="J163" s="45">
        <f t="shared" si="2"/>
        <v>75</v>
      </c>
      <c r="K163" s="45"/>
      <c r="L163" s="45">
        <v>85</v>
      </c>
      <c r="M163" s="48">
        <v>35000</v>
      </c>
      <c r="N163" s="49">
        <v>1</v>
      </c>
      <c r="O163" s="48"/>
      <c r="P163" s="48"/>
    </row>
    <row r="164" spans="1:16" ht="15.6" x14ac:dyDescent="0.3">
      <c r="A164" s="54">
        <v>46192</v>
      </c>
      <c r="B164" s="45">
        <v>24283</v>
      </c>
      <c r="C164" s="45" t="s">
        <v>287</v>
      </c>
      <c r="D164" s="45" t="s">
        <v>288</v>
      </c>
      <c r="E164" s="95" t="s">
        <v>500</v>
      </c>
      <c r="F164" s="96" t="s">
        <v>485</v>
      </c>
      <c r="G164" s="95" t="s">
        <v>501</v>
      </c>
      <c r="H164" s="45"/>
      <c r="I164" s="45">
        <v>113</v>
      </c>
      <c r="J164" s="45">
        <f t="shared" si="2"/>
        <v>85</v>
      </c>
      <c r="K164" s="45"/>
      <c r="L164" s="45">
        <v>50</v>
      </c>
      <c r="M164" s="94"/>
      <c r="N164" s="49">
        <v>1</v>
      </c>
      <c r="O164" s="48"/>
      <c r="P164" s="48"/>
    </row>
    <row r="165" spans="1:16" ht="15.6" x14ac:dyDescent="0.3">
      <c r="A165" s="54">
        <v>46192</v>
      </c>
      <c r="B165" s="55">
        <v>16552</v>
      </c>
      <c r="C165" s="46" t="s">
        <v>272</v>
      </c>
      <c r="D165" s="46" t="s">
        <v>273</v>
      </c>
      <c r="E165" s="95" t="s">
        <v>502</v>
      </c>
      <c r="F165" s="96" t="s">
        <v>484</v>
      </c>
      <c r="G165" s="95" t="s">
        <v>497</v>
      </c>
      <c r="H165" s="45"/>
      <c r="I165" s="45">
        <v>92</v>
      </c>
      <c r="J165" s="45">
        <f t="shared" si="2"/>
        <v>80</v>
      </c>
      <c r="K165" s="45"/>
      <c r="L165" s="45">
        <v>60</v>
      </c>
      <c r="M165" s="94"/>
      <c r="N165" s="49">
        <v>1</v>
      </c>
      <c r="O165" s="48"/>
      <c r="P165" s="48"/>
    </row>
    <row r="166" spans="1:16" ht="15.6" x14ac:dyDescent="0.3">
      <c r="A166" s="54">
        <v>46192</v>
      </c>
      <c r="B166" s="55">
        <v>3936</v>
      </c>
      <c r="C166" s="46" t="s">
        <v>462</v>
      </c>
      <c r="D166" s="46" t="s">
        <v>463</v>
      </c>
      <c r="E166" s="95" t="s">
        <v>503</v>
      </c>
      <c r="F166" s="96" t="s">
        <v>484</v>
      </c>
      <c r="G166" s="95" t="s">
        <v>504</v>
      </c>
      <c r="H166" s="45"/>
      <c r="I166" s="45">
        <v>105</v>
      </c>
      <c r="J166" s="45">
        <f t="shared" si="2"/>
        <v>85</v>
      </c>
      <c r="K166" s="45"/>
      <c r="L166" s="45">
        <v>50</v>
      </c>
      <c r="M166" s="94"/>
      <c r="N166" s="49">
        <v>1</v>
      </c>
      <c r="O166" s="48"/>
      <c r="P166" s="48"/>
    </row>
    <row r="167" spans="1:16" ht="15.6" x14ac:dyDescent="0.3">
      <c r="A167" s="54">
        <v>46192</v>
      </c>
      <c r="B167" s="55">
        <v>13625</v>
      </c>
      <c r="C167" s="46" t="s">
        <v>222</v>
      </c>
      <c r="D167" s="46" t="s">
        <v>223</v>
      </c>
      <c r="E167" s="95" t="s">
        <v>505</v>
      </c>
      <c r="F167" s="96" t="s">
        <v>484</v>
      </c>
      <c r="G167" s="95" t="s">
        <v>506</v>
      </c>
      <c r="H167" s="45"/>
      <c r="I167" s="45">
        <v>89</v>
      </c>
      <c r="J167" s="45">
        <f t="shared" si="2"/>
        <v>79</v>
      </c>
      <c r="K167" s="45"/>
      <c r="L167" s="45">
        <v>65</v>
      </c>
      <c r="M167" s="94"/>
      <c r="N167" s="49">
        <v>1</v>
      </c>
      <c r="O167" s="48"/>
      <c r="P167" s="48"/>
    </row>
    <row r="168" spans="1:16" ht="15.6" x14ac:dyDescent="0.3">
      <c r="A168" s="54">
        <v>46192</v>
      </c>
      <c r="B168" s="55">
        <v>27435</v>
      </c>
      <c r="C168" s="46" t="s">
        <v>151</v>
      </c>
      <c r="D168" s="46" t="s">
        <v>152</v>
      </c>
      <c r="E168" s="95" t="s">
        <v>507</v>
      </c>
      <c r="F168" s="96" t="s">
        <v>484</v>
      </c>
      <c r="G168" s="95" t="s">
        <v>497</v>
      </c>
      <c r="H168" s="45"/>
      <c r="I168" s="45">
        <v>91</v>
      </c>
      <c r="J168" s="45">
        <f t="shared" si="2"/>
        <v>79</v>
      </c>
      <c r="K168" s="45">
        <v>1</v>
      </c>
      <c r="L168" s="45">
        <v>65</v>
      </c>
      <c r="M168" s="94"/>
      <c r="N168" s="49">
        <v>1</v>
      </c>
      <c r="O168" s="48"/>
      <c r="P168" s="48"/>
    </row>
    <row r="169" spans="1:16" ht="15.6" x14ac:dyDescent="0.3">
      <c r="A169" s="54">
        <v>46192</v>
      </c>
      <c r="B169" s="55">
        <v>26953</v>
      </c>
      <c r="C169" s="46" t="s">
        <v>120</v>
      </c>
      <c r="D169" s="46" t="s">
        <v>121</v>
      </c>
      <c r="E169" s="95" t="s">
        <v>509</v>
      </c>
      <c r="F169" s="96" t="s">
        <v>484</v>
      </c>
      <c r="G169" s="95" t="s">
        <v>510</v>
      </c>
      <c r="H169" s="45"/>
      <c r="I169" s="45">
        <v>85</v>
      </c>
      <c r="J169" s="45">
        <f t="shared" si="2"/>
        <v>77</v>
      </c>
      <c r="K169" s="45">
        <v>1</v>
      </c>
      <c r="L169" s="45">
        <v>75</v>
      </c>
      <c r="M169" s="94"/>
      <c r="N169" s="49">
        <v>1</v>
      </c>
      <c r="O169" s="48"/>
      <c r="P169" s="48"/>
    </row>
    <row r="170" spans="1:16" ht="15.6" x14ac:dyDescent="0.3">
      <c r="A170" s="54">
        <v>46192</v>
      </c>
      <c r="B170" s="55">
        <v>30572</v>
      </c>
      <c r="C170" s="46" t="s">
        <v>225</v>
      </c>
      <c r="D170" s="46" t="s">
        <v>226</v>
      </c>
      <c r="E170" s="95" t="s">
        <v>512</v>
      </c>
      <c r="F170" s="96" t="s">
        <v>485</v>
      </c>
      <c r="G170" s="95" t="s">
        <v>504</v>
      </c>
      <c r="H170" s="45"/>
      <c r="I170" s="45">
        <v>94</v>
      </c>
      <c r="J170" s="45">
        <f t="shared" si="2"/>
        <v>74</v>
      </c>
      <c r="K170" s="45"/>
      <c r="L170" s="45">
        <v>90</v>
      </c>
      <c r="M170" s="48">
        <v>120000</v>
      </c>
      <c r="N170" s="49">
        <v>1</v>
      </c>
      <c r="O170" s="48"/>
      <c r="P170" s="48"/>
    </row>
    <row r="171" spans="1:16" ht="15.6" x14ac:dyDescent="0.3">
      <c r="A171" s="54">
        <v>46192</v>
      </c>
      <c r="B171" s="55">
        <v>12724</v>
      </c>
      <c r="C171" s="46" t="s">
        <v>460</v>
      </c>
      <c r="D171" s="46" t="s">
        <v>246</v>
      </c>
      <c r="E171" s="95" t="s">
        <v>513</v>
      </c>
      <c r="F171" s="96" t="s">
        <v>484</v>
      </c>
      <c r="G171" s="95" t="s">
        <v>514</v>
      </c>
      <c r="H171" s="45"/>
      <c r="I171" s="45">
        <v>89</v>
      </c>
      <c r="J171" s="45">
        <f t="shared" si="2"/>
        <v>78</v>
      </c>
      <c r="K171" s="45"/>
      <c r="L171" s="45">
        <v>70</v>
      </c>
      <c r="M171" s="48"/>
      <c r="N171" s="49">
        <v>1</v>
      </c>
      <c r="O171" s="48"/>
      <c r="P171" s="48"/>
    </row>
    <row r="172" spans="1:16" ht="15.6" x14ac:dyDescent="0.3">
      <c r="A172" s="54">
        <v>46192</v>
      </c>
      <c r="B172" s="55">
        <v>31818</v>
      </c>
      <c r="C172" s="46" t="s">
        <v>235</v>
      </c>
      <c r="D172" s="46" t="s">
        <v>236</v>
      </c>
      <c r="E172" s="95" t="s">
        <v>515</v>
      </c>
      <c r="F172" s="96" t="s">
        <v>484</v>
      </c>
      <c r="G172" s="95" t="s">
        <v>492</v>
      </c>
      <c r="H172" s="45"/>
      <c r="I172" s="45">
        <v>93</v>
      </c>
      <c r="J172" s="45">
        <f t="shared" si="2"/>
        <v>74</v>
      </c>
      <c r="K172" s="45"/>
      <c r="L172" s="45">
        <v>90</v>
      </c>
      <c r="M172" s="48">
        <v>120000</v>
      </c>
      <c r="N172" s="49">
        <v>1</v>
      </c>
      <c r="O172" s="48"/>
      <c r="P172" s="48"/>
    </row>
    <row r="173" spans="1:16" ht="15.6" x14ac:dyDescent="0.3">
      <c r="A173" s="54">
        <v>46192</v>
      </c>
      <c r="B173" s="45">
        <v>22156</v>
      </c>
      <c r="C173" s="45" t="s">
        <v>231</v>
      </c>
      <c r="D173" s="45" t="s">
        <v>232</v>
      </c>
      <c r="E173" s="95" t="s">
        <v>516</v>
      </c>
      <c r="F173" s="96" t="s">
        <v>485</v>
      </c>
      <c r="G173" s="95" t="s">
        <v>488</v>
      </c>
      <c r="H173" s="45"/>
      <c r="I173" s="45">
        <v>105</v>
      </c>
      <c r="J173" s="45">
        <f t="shared" si="2"/>
        <v>87</v>
      </c>
      <c r="K173" s="45"/>
      <c r="L173" s="45">
        <v>45</v>
      </c>
      <c r="M173" s="48"/>
      <c r="N173" s="49">
        <v>1</v>
      </c>
      <c r="O173" s="48"/>
      <c r="P173" s="48"/>
    </row>
    <row r="174" spans="1:16" ht="15.6" x14ac:dyDescent="0.3">
      <c r="A174" s="54">
        <v>46192</v>
      </c>
      <c r="B174" s="55">
        <v>8473</v>
      </c>
      <c r="C174" s="46" t="s">
        <v>58</v>
      </c>
      <c r="D174" s="46" t="s">
        <v>59</v>
      </c>
      <c r="E174" s="95" t="s">
        <v>517</v>
      </c>
      <c r="F174" s="96" t="s">
        <v>485</v>
      </c>
      <c r="G174" s="95" t="s">
        <v>518</v>
      </c>
      <c r="H174" s="45"/>
      <c r="I174" s="45">
        <v>100</v>
      </c>
      <c r="J174" s="45">
        <f t="shared" si="2"/>
        <v>76</v>
      </c>
      <c r="K174" s="45"/>
      <c r="L174" s="45">
        <v>80</v>
      </c>
      <c r="M174" s="48"/>
      <c r="N174" s="49">
        <v>1</v>
      </c>
      <c r="O174" s="48"/>
      <c r="P174" s="48"/>
    </row>
    <row r="175" spans="1:16" ht="15.6" x14ac:dyDescent="0.3">
      <c r="A175" s="54">
        <v>46192</v>
      </c>
      <c r="B175" s="60">
        <v>32142</v>
      </c>
      <c r="C175" s="46" t="s">
        <v>47</v>
      </c>
      <c r="D175" s="46" t="s">
        <v>48</v>
      </c>
      <c r="E175" s="74">
        <v>19.5</v>
      </c>
      <c r="F175" s="55" t="s">
        <v>485</v>
      </c>
      <c r="G175" s="77">
        <v>19</v>
      </c>
      <c r="H175" s="45"/>
      <c r="I175" s="50">
        <v>94</v>
      </c>
      <c r="J175" s="45">
        <f t="shared" si="2"/>
        <v>75</v>
      </c>
      <c r="K175" s="45"/>
      <c r="L175" s="45">
        <v>85</v>
      </c>
      <c r="M175" s="48">
        <v>35000</v>
      </c>
      <c r="N175" s="49">
        <v>1</v>
      </c>
      <c r="O175" s="48"/>
      <c r="P175" s="48"/>
    </row>
    <row r="176" spans="1:16" ht="15.6" x14ac:dyDescent="0.3">
      <c r="A176" s="54">
        <v>46200</v>
      </c>
      <c r="B176" s="58">
        <v>18908</v>
      </c>
      <c r="C176" s="51" t="s">
        <v>190</v>
      </c>
      <c r="D176" s="51" t="s">
        <v>88</v>
      </c>
      <c r="E176" s="74">
        <v>10.199999999999999</v>
      </c>
      <c r="F176" s="101" t="s">
        <v>484</v>
      </c>
      <c r="G176" s="77">
        <v>10</v>
      </c>
      <c r="H176" s="45"/>
      <c r="I176" s="45">
        <v>86</v>
      </c>
      <c r="J176" s="45">
        <f t="shared" si="2"/>
        <v>76</v>
      </c>
      <c r="K176" s="45"/>
      <c r="L176" s="45">
        <v>75</v>
      </c>
      <c r="M176" s="48"/>
      <c r="N176" s="49">
        <v>1</v>
      </c>
      <c r="O176" s="48"/>
      <c r="P176" s="48"/>
    </row>
    <row r="177" spans="1:16" ht="15.6" x14ac:dyDescent="0.3">
      <c r="A177" s="54">
        <v>46200</v>
      </c>
      <c r="B177" s="59">
        <v>21865</v>
      </c>
      <c r="C177" s="51" t="s">
        <v>107</v>
      </c>
      <c r="D177" s="51" t="s">
        <v>108</v>
      </c>
      <c r="E177" s="74">
        <v>16.399999999999999</v>
      </c>
      <c r="F177" s="101" t="s">
        <v>485</v>
      </c>
      <c r="G177" s="77">
        <v>16</v>
      </c>
      <c r="H177" s="45"/>
      <c r="I177" s="45">
        <v>91</v>
      </c>
      <c r="J177" s="45">
        <f t="shared" si="2"/>
        <v>75</v>
      </c>
      <c r="K177" s="45">
        <v>1</v>
      </c>
      <c r="L177" s="45">
        <v>80</v>
      </c>
      <c r="M177" s="48"/>
      <c r="N177" s="49">
        <v>1</v>
      </c>
      <c r="O177" s="48"/>
      <c r="P177" s="48"/>
    </row>
    <row r="178" spans="1:16" ht="15.6" x14ac:dyDescent="0.3">
      <c r="A178" s="54">
        <v>46200</v>
      </c>
      <c r="B178" s="55">
        <v>17043</v>
      </c>
      <c r="C178" s="46" t="s">
        <v>118</v>
      </c>
      <c r="D178" s="46" t="s">
        <v>119</v>
      </c>
      <c r="E178" s="74">
        <v>19</v>
      </c>
      <c r="F178" s="101" t="s">
        <v>485</v>
      </c>
      <c r="G178" s="77">
        <v>19</v>
      </c>
      <c r="H178" s="45"/>
      <c r="I178" s="45">
        <v>88</v>
      </c>
      <c r="J178" s="45">
        <f t="shared" si="2"/>
        <v>69</v>
      </c>
      <c r="K178" s="45"/>
      <c r="L178" s="45">
        <v>95</v>
      </c>
      <c r="M178" s="48">
        <v>140000</v>
      </c>
      <c r="N178" s="49">
        <v>1</v>
      </c>
      <c r="O178" s="48"/>
      <c r="P178" s="48"/>
    </row>
    <row r="179" spans="1:16" ht="15.6" x14ac:dyDescent="0.3">
      <c r="A179" s="54">
        <v>46200</v>
      </c>
      <c r="B179" s="55">
        <v>30572</v>
      </c>
      <c r="C179" s="46" t="s">
        <v>225</v>
      </c>
      <c r="D179" s="46" t="s">
        <v>226</v>
      </c>
      <c r="E179" s="74">
        <v>19.8</v>
      </c>
      <c r="F179" s="101" t="s">
        <v>485</v>
      </c>
      <c r="G179" s="78">
        <v>20</v>
      </c>
      <c r="H179" s="45"/>
      <c r="I179" s="45">
        <v>94</v>
      </c>
      <c r="J179" s="45">
        <f t="shared" si="2"/>
        <v>74</v>
      </c>
      <c r="K179" s="45"/>
      <c r="L179" s="45">
        <v>85</v>
      </c>
      <c r="M179" s="48"/>
      <c r="N179" s="49">
        <v>1</v>
      </c>
      <c r="O179" s="48"/>
      <c r="P179" s="48"/>
    </row>
    <row r="180" spans="1:16" ht="15.6" x14ac:dyDescent="0.3">
      <c r="A180" s="54">
        <v>46200</v>
      </c>
      <c r="B180" s="55">
        <v>7891</v>
      </c>
      <c r="C180" s="46" t="s">
        <v>220</v>
      </c>
      <c r="D180" s="46" t="s">
        <v>221</v>
      </c>
      <c r="E180" s="74">
        <v>18.8</v>
      </c>
      <c r="F180" s="101" t="s">
        <v>485</v>
      </c>
      <c r="G180" s="78">
        <v>19</v>
      </c>
      <c r="H180" s="45"/>
      <c r="I180" s="45">
        <v>98</v>
      </c>
      <c r="J180" s="45">
        <f t="shared" si="2"/>
        <v>79</v>
      </c>
      <c r="K180" s="45"/>
      <c r="L180" s="45">
        <v>65</v>
      </c>
      <c r="M180" s="48"/>
      <c r="N180" s="49">
        <v>1</v>
      </c>
      <c r="O180" s="48"/>
      <c r="P180" s="48"/>
    </row>
    <row r="181" spans="1:16" ht="15.6" x14ac:dyDescent="0.3">
      <c r="A181" s="54">
        <v>46200</v>
      </c>
      <c r="B181" s="119">
        <v>9446</v>
      </c>
      <c r="C181" s="49" t="s">
        <v>285</v>
      </c>
      <c r="D181" s="49" t="s">
        <v>286</v>
      </c>
      <c r="E181" s="74">
        <v>11.8</v>
      </c>
      <c r="F181" s="101" t="s">
        <v>484</v>
      </c>
      <c r="G181" s="77">
        <v>12</v>
      </c>
      <c r="H181" s="45"/>
      <c r="I181" s="45">
        <v>102</v>
      </c>
      <c r="J181" s="45">
        <f t="shared" si="2"/>
        <v>90</v>
      </c>
      <c r="K181" s="45"/>
      <c r="L181" s="45">
        <v>50</v>
      </c>
      <c r="M181" s="48"/>
      <c r="N181" s="49">
        <v>1</v>
      </c>
      <c r="O181" s="48"/>
      <c r="P181" s="48"/>
    </row>
    <row r="182" spans="1:16" ht="15.6" x14ac:dyDescent="0.3">
      <c r="A182" s="54">
        <v>46200</v>
      </c>
      <c r="B182" s="55">
        <v>26953</v>
      </c>
      <c r="C182" s="46" t="s">
        <v>120</v>
      </c>
      <c r="D182" s="46" t="s">
        <v>121</v>
      </c>
      <c r="E182" s="74">
        <v>8.6999999999999993</v>
      </c>
      <c r="F182" s="101" t="s">
        <v>484</v>
      </c>
      <c r="G182" s="77">
        <v>8</v>
      </c>
      <c r="H182" s="45"/>
      <c r="I182" s="45">
        <v>89</v>
      </c>
      <c r="J182" s="45">
        <f t="shared" si="2"/>
        <v>81</v>
      </c>
      <c r="K182" s="45">
        <v>1</v>
      </c>
      <c r="L182" s="45">
        <v>60</v>
      </c>
      <c r="M182" s="48"/>
      <c r="N182" s="49">
        <v>1</v>
      </c>
      <c r="O182" s="48"/>
      <c r="P182" s="48"/>
    </row>
    <row r="183" spans="1:16" ht="15.6" x14ac:dyDescent="0.3">
      <c r="A183" s="54">
        <v>46200</v>
      </c>
      <c r="B183" s="55">
        <v>13625</v>
      </c>
      <c r="C183" s="46" t="s">
        <v>222</v>
      </c>
      <c r="D183" s="46" t="s">
        <v>223</v>
      </c>
      <c r="E183" s="74">
        <v>10.199999999999999</v>
      </c>
      <c r="F183" s="101" t="s">
        <v>484</v>
      </c>
      <c r="G183" s="77">
        <v>10</v>
      </c>
      <c r="H183" s="45"/>
      <c r="I183" s="45">
        <v>78</v>
      </c>
      <c r="J183" s="45">
        <f t="shared" si="2"/>
        <v>68</v>
      </c>
      <c r="K183" s="45"/>
      <c r="L183" s="45">
        <v>100</v>
      </c>
      <c r="M183" s="48">
        <v>190000</v>
      </c>
      <c r="N183" s="49">
        <v>1</v>
      </c>
      <c r="O183" s="48"/>
      <c r="P183" s="48"/>
    </row>
    <row r="184" spans="1:16" ht="15.6" x14ac:dyDescent="0.3">
      <c r="A184" s="54">
        <v>46200</v>
      </c>
      <c r="B184" s="55">
        <v>12724</v>
      </c>
      <c r="C184" s="46" t="s">
        <v>460</v>
      </c>
      <c r="D184" s="46" t="s">
        <v>246</v>
      </c>
      <c r="E184" s="74">
        <v>10.5</v>
      </c>
      <c r="F184" s="101" t="s">
        <v>484</v>
      </c>
      <c r="G184" s="77">
        <v>11</v>
      </c>
      <c r="H184" s="45"/>
      <c r="I184" s="45">
        <v>88</v>
      </c>
      <c r="J184" s="45">
        <f t="shared" si="2"/>
        <v>77</v>
      </c>
      <c r="K184" s="45"/>
      <c r="L184" s="45">
        <v>70</v>
      </c>
      <c r="M184" s="48"/>
      <c r="N184" s="49">
        <v>1</v>
      </c>
      <c r="O184" s="48"/>
      <c r="P184" s="48"/>
    </row>
    <row r="185" spans="1:16" ht="15.6" x14ac:dyDescent="0.3">
      <c r="A185" s="54">
        <v>46200</v>
      </c>
      <c r="B185" s="70">
        <v>24140</v>
      </c>
      <c r="C185" s="71" t="s">
        <v>363</v>
      </c>
      <c r="D185" s="71" t="s">
        <v>119</v>
      </c>
      <c r="E185" s="74">
        <v>24.4</v>
      </c>
      <c r="F185" s="101" t="s">
        <v>485</v>
      </c>
      <c r="G185" s="77">
        <v>25</v>
      </c>
      <c r="H185" s="45"/>
      <c r="I185" s="45">
        <v>107</v>
      </c>
      <c r="J185" s="45">
        <f t="shared" si="2"/>
        <v>82</v>
      </c>
      <c r="K185" s="45"/>
      <c r="L185" s="45">
        <v>55</v>
      </c>
      <c r="M185" s="48"/>
      <c r="N185" s="49">
        <v>1</v>
      </c>
      <c r="O185" s="48"/>
      <c r="P185" s="48"/>
    </row>
    <row r="186" spans="1:16" ht="15.6" x14ac:dyDescent="0.3">
      <c r="A186" s="54">
        <v>46200</v>
      </c>
      <c r="B186" s="55">
        <v>28225</v>
      </c>
      <c r="C186" s="46" t="s">
        <v>222</v>
      </c>
      <c r="D186" s="46" t="s">
        <v>233</v>
      </c>
      <c r="E186" s="74">
        <v>12.4</v>
      </c>
      <c r="F186" s="101" t="s">
        <v>484</v>
      </c>
      <c r="G186" s="78">
        <v>13</v>
      </c>
      <c r="H186" s="45"/>
      <c r="I186" s="45">
        <v>92</v>
      </c>
      <c r="J186" s="45">
        <f t="shared" si="2"/>
        <v>79</v>
      </c>
      <c r="K186" s="45">
        <v>1</v>
      </c>
      <c r="L186" s="45">
        <v>65</v>
      </c>
      <c r="M186" s="48"/>
      <c r="N186" s="49">
        <v>1</v>
      </c>
      <c r="O186" s="48"/>
      <c r="P186" s="48">
        <v>110000</v>
      </c>
    </row>
    <row r="187" spans="1:16" ht="15.6" x14ac:dyDescent="0.3">
      <c r="A187" s="54">
        <v>46200</v>
      </c>
      <c r="B187" s="55">
        <v>16552</v>
      </c>
      <c r="C187" s="46" t="s">
        <v>272</v>
      </c>
      <c r="D187" s="46" t="s">
        <v>273</v>
      </c>
      <c r="E187" s="74">
        <v>11.7</v>
      </c>
      <c r="F187" s="101" t="s">
        <v>484</v>
      </c>
      <c r="G187" s="77">
        <v>12</v>
      </c>
      <c r="H187" s="45"/>
      <c r="I187" s="45">
        <v>82</v>
      </c>
      <c r="J187" s="45">
        <f t="shared" si="2"/>
        <v>70</v>
      </c>
      <c r="K187" s="45"/>
      <c r="L187" s="45">
        <v>90</v>
      </c>
      <c r="M187" s="48">
        <v>100000</v>
      </c>
      <c r="N187" s="49">
        <v>1</v>
      </c>
      <c r="O187" s="48"/>
      <c r="P187" s="48"/>
    </row>
    <row r="188" spans="1:16" ht="15.6" x14ac:dyDescent="0.3">
      <c r="A188" s="54">
        <v>46221</v>
      </c>
      <c r="B188" s="58">
        <v>18908</v>
      </c>
      <c r="C188" s="51" t="s">
        <v>190</v>
      </c>
      <c r="D188" s="51" t="s">
        <v>88</v>
      </c>
      <c r="E188" s="122" t="s">
        <v>532</v>
      </c>
      <c r="F188" s="112" t="s">
        <v>484</v>
      </c>
      <c r="G188" s="121">
        <v>10</v>
      </c>
      <c r="H188" s="45"/>
      <c r="I188" s="45">
        <v>86</v>
      </c>
      <c r="J188" s="45">
        <f t="shared" si="2"/>
        <v>76</v>
      </c>
      <c r="K188" s="45"/>
      <c r="L188" s="45">
        <v>120</v>
      </c>
      <c r="M188" s="48"/>
      <c r="N188" s="49">
        <v>1</v>
      </c>
      <c r="O188" s="48"/>
      <c r="P188" s="48">
        <v>140000</v>
      </c>
    </row>
    <row r="189" spans="1:16" ht="15.6" x14ac:dyDescent="0.3">
      <c r="A189" s="54">
        <v>46221</v>
      </c>
      <c r="B189" s="55">
        <v>30087</v>
      </c>
      <c r="C189" s="46" t="s">
        <v>149</v>
      </c>
      <c r="D189" s="46" t="s">
        <v>150</v>
      </c>
      <c r="E189" s="74" t="s">
        <v>527</v>
      </c>
      <c r="F189" s="55" t="s">
        <v>484</v>
      </c>
      <c r="G189" s="77" t="s">
        <v>514</v>
      </c>
      <c r="H189" s="45"/>
      <c r="I189" s="45">
        <v>91</v>
      </c>
      <c r="J189" s="45">
        <f t="shared" si="2"/>
        <v>80</v>
      </c>
      <c r="K189" s="45"/>
      <c r="L189" s="45">
        <v>100</v>
      </c>
      <c r="M189" s="48"/>
      <c r="N189" s="49">
        <v>1</v>
      </c>
      <c r="O189" s="48"/>
      <c r="P189" s="48"/>
    </row>
    <row r="190" spans="1:16" ht="15.6" x14ac:dyDescent="0.3">
      <c r="A190" s="54">
        <v>46221</v>
      </c>
      <c r="B190" s="55">
        <v>27435</v>
      </c>
      <c r="C190" s="46" t="s">
        <v>151</v>
      </c>
      <c r="D190" s="46" t="s">
        <v>152</v>
      </c>
      <c r="E190" s="95" t="s">
        <v>507</v>
      </c>
      <c r="F190" s="96" t="s">
        <v>484</v>
      </c>
      <c r="G190" s="95" t="s">
        <v>497</v>
      </c>
      <c r="H190" s="45"/>
      <c r="I190" s="45">
        <v>84</v>
      </c>
      <c r="J190" s="45">
        <f t="shared" si="2"/>
        <v>72</v>
      </c>
      <c r="K190" s="45"/>
      <c r="L190" s="45">
        <v>170</v>
      </c>
      <c r="M190" s="48">
        <v>100000</v>
      </c>
      <c r="N190" s="49">
        <v>1</v>
      </c>
      <c r="O190" s="48"/>
      <c r="P190" s="48"/>
    </row>
    <row r="191" spans="1:16" ht="15.6" x14ac:dyDescent="0.3">
      <c r="A191" s="54">
        <v>46221</v>
      </c>
      <c r="B191" s="119">
        <v>9446</v>
      </c>
      <c r="C191" s="49" t="s">
        <v>285</v>
      </c>
      <c r="D191" s="49" t="s">
        <v>286</v>
      </c>
      <c r="E191" s="74">
        <v>11.8</v>
      </c>
      <c r="F191" s="101" t="s">
        <v>484</v>
      </c>
      <c r="G191" s="77">
        <v>12</v>
      </c>
      <c r="H191" s="45"/>
      <c r="I191" s="45">
        <v>88</v>
      </c>
      <c r="J191" s="45">
        <f t="shared" si="2"/>
        <v>76</v>
      </c>
      <c r="K191" s="45"/>
      <c r="L191" s="45">
        <v>120</v>
      </c>
      <c r="M191" s="48"/>
      <c r="N191" s="49">
        <v>1</v>
      </c>
      <c r="O191" s="48"/>
      <c r="P191" s="48"/>
    </row>
    <row r="192" spans="1:16" ht="15.6" x14ac:dyDescent="0.3">
      <c r="A192" s="54">
        <v>46221</v>
      </c>
      <c r="B192" s="59">
        <v>21865</v>
      </c>
      <c r="C192" s="51" t="s">
        <v>107</v>
      </c>
      <c r="D192" s="51" t="s">
        <v>108</v>
      </c>
      <c r="E192" s="74" t="s">
        <v>529</v>
      </c>
      <c r="F192" s="55" t="s">
        <v>485</v>
      </c>
      <c r="G192" s="77">
        <v>16</v>
      </c>
      <c r="H192" s="45"/>
      <c r="I192" s="45">
        <v>91</v>
      </c>
      <c r="J192" s="45">
        <f t="shared" si="2"/>
        <v>75</v>
      </c>
      <c r="K192" s="45"/>
      <c r="L192" s="45">
        <v>130</v>
      </c>
      <c r="M192" s="48"/>
      <c r="N192" s="49">
        <v>1</v>
      </c>
      <c r="O192" s="48"/>
      <c r="P192" s="48"/>
    </row>
    <row r="193" spans="1:16" ht="15.6" x14ac:dyDescent="0.3">
      <c r="A193" s="54">
        <v>46221</v>
      </c>
      <c r="B193" s="55">
        <v>15107</v>
      </c>
      <c r="C193" s="46" t="s">
        <v>153</v>
      </c>
      <c r="D193" s="46" t="s">
        <v>154</v>
      </c>
      <c r="E193" s="74" t="s">
        <v>525</v>
      </c>
      <c r="F193" s="55" t="s">
        <v>484</v>
      </c>
      <c r="G193" s="77" t="s">
        <v>492</v>
      </c>
      <c r="H193" s="45"/>
      <c r="I193" s="45">
        <v>100</v>
      </c>
      <c r="J193" s="45">
        <f t="shared" si="2"/>
        <v>81</v>
      </c>
      <c r="K193" s="45"/>
      <c r="L193" s="45">
        <v>90</v>
      </c>
      <c r="M193" s="48"/>
      <c r="N193" s="49">
        <v>1</v>
      </c>
      <c r="O193" s="48"/>
      <c r="P193" s="48"/>
    </row>
    <row r="194" spans="1:16" ht="15.6" x14ac:dyDescent="0.3">
      <c r="A194" s="54">
        <v>46221</v>
      </c>
      <c r="B194" s="55">
        <v>31818</v>
      </c>
      <c r="C194" s="46" t="s">
        <v>235</v>
      </c>
      <c r="D194" s="46" t="s">
        <v>236</v>
      </c>
      <c r="E194" s="95" t="s">
        <v>515</v>
      </c>
      <c r="F194" s="96" t="s">
        <v>484</v>
      </c>
      <c r="G194" s="95" t="s">
        <v>492</v>
      </c>
      <c r="H194" s="45"/>
      <c r="I194" s="45">
        <v>88</v>
      </c>
      <c r="J194" s="45">
        <f t="shared" si="2"/>
        <v>69</v>
      </c>
      <c r="K194" s="45"/>
      <c r="L194" s="45">
        <v>180</v>
      </c>
      <c r="M194" s="48">
        <v>140000</v>
      </c>
      <c r="N194" s="49">
        <v>1</v>
      </c>
      <c r="O194" s="48"/>
      <c r="P194" s="48"/>
    </row>
    <row r="195" spans="1:16" ht="15.6" x14ac:dyDescent="0.3">
      <c r="A195" s="54">
        <v>46221</v>
      </c>
      <c r="B195" s="60">
        <v>32142</v>
      </c>
      <c r="C195" s="46" t="s">
        <v>47</v>
      </c>
      <c r="D195" s="46" t="s">
        <v>48</v>
      </c>
      <c r="E195" s="74">
        <v>19.5</v>
      </c>
      <c r="F195" s="55" t="s">
        <v>485</v>
      </c>
      <c r="G195" s="77">
        <v>19</v>
      </c>
      <c r="H195" s="45"/>
      <c r="I195" s="45">
        <v>107</v>
      </c>
      <c r="J195" s="45">
        <f t="shared" si="2"/>
        <v>88</v>
      </c>
      <c r="K195" s="45"/>
      <c r="L195" s="45">
        <v>80</v>
      </c>
      <c r="M195" s="48"/>
      <c r="N195" s="49">
        <v>1</v>
      </c>
      <c r="O195" s="48"/>
      <c r="P195" s="48"/>
    </row>
    <row r="196" spans="1:16" ht="15.6" x14ac:dyDescent="0.3">
      <c r="A196" s="54">
        <v>46221</v>
      </c>
      <c r="B196" s="56">
        <v>28433</v>
      </c>
      <c r="C196" s="46" t="s">
        <v>353</v>
      </c>
      <c r="D196" s="46" t="s">
        <v>354</v>
      </c>
      <c r="E196" s="95" t="s">
        <v>493</v>
      </c>
      <c r="F196" s="96" t="s">
        <v>485</v>
      </c>
      <c r="G196" s="95" t="s">
        <v>494</v>
      </c>
      <c r="H196" s="45"/>
      <c r="I196" s="45">
        <v>96</v>
      </c>
      <c r="J196" s="45">
        <f t="shared" si="2"/>
        <v>73</v>
      </c>
      <c r="K196" s="45"/>
      <c r="L196" s="45">
        <v>160</v>
      </c>
      <c r="M196" s="48"/>
      <c r="N196" s="49">
        <v>1</v>
      </c>
      <c r="O196" s="48"/>
      <c r="P196" s="48"/>
    </row>
    <row r="197" spans="1:16" ht="15.6" x14ac:dyDescent="0.3">
      <c r="A197" s="54">
        <v>46221</v>
      </c>
      <c r="B197" s="70">
        <v>24140</v>
      </c>
      <c r="C197" s="71" t="s">
        <v>363</v>
      </c>
      <c r="D197" s="71" t="s">
        <v>119</v>
      </c>
      <c r="E197" s="74">
        <v>24.4</v>
      </c>
      <c r="F197" s="101" t="s">
        <v>485</v>
      </c>
      <c r="G197" s="77">
        <v>25</v>
      </c>
      <c r="H197" s="45"/>
      <c r="I197" s="45">
        <v>114</v>
      </c>
      <c r="J197" s="45">
        <f t="shared" si="2"/>
        <v>89</v>
      </c>
      <c r="K197" s="45"/>
      <c r="L197" s="45">
        <v>70</v>
      </c>
      <c r="M197" s="48"/>
      <c r="N197" s="49">
        <v>1</v>
      </c>
      <c r="O197" s="48"/>
      <c r="P197" s="48"/>
    </row>
    <row r="198" spans="1:16" ht="15.6" x14ac:dyDescent="0.3">
      <c r="A198" s="54">
        <v>46221</v>
      </c>
      <c r="B198" s="55">
        <v>18411</v>
      </c>
      <c r="C198" s="46" t="s">
        <v>28</v>
      </c>
      <c r="D198" s="46" t="s">
        <v>29</v>
      </c>
      <c r="E198" s="74" t="s">
        <v>538</v>
      </c>
      <c r="F198" s="55" t="s">
        <v>485</v>
      </c>
      <c r="G198" s="78" t="s">
        <v>521</v>
      </c>
      <c r="H198" s="45"/>
      <c r="I198" s="45">
        <v>105</v>
      </c>
      <c r="J198" s="45">
        <f t="shared" si="2"/>
        <v>80</v>
      </c>
      <c r="K198" s="45"/>
      <c r="L198" s="45">
        <v>100</v>
      </c>
      <c r="M198" s="48"/>
      <c r="N198" s="49">
        <v>1</v>
      </c>
      <c r="O198" s="48"/>
      <c r="P198" s="48"/>
    </row>
    <row r="199" spans="1:16" ht="15.6" x14ac:dyDescent="0.3">
      <c r="A199" s="54">
        <v>46221</v>
      </c>
      <c r="B199" s="45">
        <v>24283</v>
      </c>
      <c r="C199" s="45" t="s">
        <v>287</v>
      </c>
      <c r="D199" s="45" t="s">
        <v>288</v>
      </c>
      <c r="E199" s="74">
        <v>27</v>
      </c>
      <c r="F199" s="55" t="s">
        <v>485</v>
      </c>
      <c r="G199" s="77" t="s">
        <v>501</v>
      </c>
      <c r="H199" s="45"/>
      <c r="I199" s="45">
        <v>94</v>
      </c>
      <c r="J199" s="45">
        <f t="shared" si="2"/>
        <v>66</v>
      </c>
      <c r="K199" s="45"/>
      <c r="L199" s="45">
        <v>200</v>
      </c>
      <c r="M199" s="48">
        <v>200000</v>
      </c>
      <c r="N199" s="49">
        <v>1</v>
      </c>
      <c r="O199" s="48"/>
      <c r="P199" s="48"/>
    </row>
    <row r="200" spans="1:16" ht="15.6" x14ac:dyDescent="0.3">
      <c r="A200" s="54">
        <v>46221</v>
      </c>
      <c r="B200" s="55">
        <v>4080</v>
      </c>
      <c r="C200" s="46" t="s">
        <v>191</v>
      </c>
      <c r="D200" s="46" t="s">
        <v>106</v>
      </c>
      <c r="E200" s="77" t="s">
        <v>531</v>
      </c>
      <c r="F200" s="55" t="s">
        <v>485</v>
      </c>
      <c r="G200" s="120">
        <v>15</v>
      </c>
      <c r="H200" s="45"/>
      <c r="I200" s="45">
        <v>93</v>
      </c>
      <c r="J200" s="45">
        <f t="shared" si="2"/>
        <v>78</v>
      </c>
      <c r="K200" s="45"/>
      <c r="L200" s="45">
        <v>110</v>
      </c>
      <c r="M200" s="48"/>
      <c r="N200" s="49">
        <v>1</v>
      </c>
      <c r="O200" s="48"/>
      <c r="P200" s="48"/>
    </row>
    <row r="201" spans="1:16" ht="15.6" x14ac:dyDescent="0.3">
      <c r="A201" s="54">
        <v>46221</v>
      </c>
      <c r="B201" s="55">
        <v>7891</v>
      </c>
      <c r="C201" s="46" t="s">
        <v>220</v>
      </c>
      <c r="D201" s="46" t="s">
        <v>221</v>
      </c>
      <c r="E201" s="74" t="s">
        <v>530</v>
      </c>
      <c r="F201" s="55" t="s">
        <v>485</v>
      </c>
      <c r="G201" s="77" t="s">
        <v>488</v>
      </c>
      <c r="H201" s="45"/>
      <c r="I201" s="45">
        <v>92</v>
      </c>
      <c r="J201" s="45">
        <f t="shared" si="2"/>
        <v>74</v>
      </c>
      <c r="K201" s="45"/>
      <c r="L201" s="45">
        <v>140</v>
      </c>
      <c r="M201" s="48"/>
      <c r="N201" s="49">
        <v>1</v>
      </c>
      <c r="O201" s="48"/>
      <c r="P201" s="48"/>
    </row>
    <row r="202" spans="1:16" ht="15.6" x14ac:dyDescent="0.3">
      <c r="A202" s="54">
        <v>46221</v>
      </c>
      <c r="B202" s="55">
        <v>30572</v>
      </c>
      <c r="C202" s="46" t="s">
        <v>225</v>
      </c>
      <c r="D202" s="46" t="s">
        <v>226</v>
      </c>
      <c r="E202" s="74" t="s">
        <v>528</v>
      </c>
      <c r="F202" s="55" t="s">
        <v>485</v>
      </c>
      <c r="G202" s="77" t="s">
        <v>492</v>
      </c>
      <c r="H202" s="45"/>
      <c r="I202" s="45">
        <v>86</v>
      </c>
      <c r="J202" s="45">
        <f t="shared" si="2"/>
        <v>67</v>
      </c>
      <c r="K202" s="45"/>
      <c r="L202" s="45">
        <v>190</v>
      </c>
      <c r="M202" s="48">
        <v>160000</v>
      </c>
      <c r="N202" s="49">
        <v>1</v>
      </c>
      <c r="O202" s="48"/>
      <c r="P202" s="48"/>
    </row>
    <row r="203" spans="1:16" ht="15.6" x14ac:dyDescent="0.3">
      <c r="A203" s="54">
        <v>46221</v>
      </c>
      <c r="B203" s="45">
        <v>22156</v>
      </c>
      <c r="C203" s="45" t="s">
        <v>231</v>
      </c>
      <c r="D203" s="45" t="s">
        <v>232</v>
      </c>
      <c r="E203" s="95" t="s">
        <v>516</v>
      </c>
      <c r="F203" s="96" t="s">
        <v>485</v>
      </c>
      <c r="G203" s="95" t="s">
        <v>488</v>
      </c>
      <c r="H203" s="45"/>
      <c r="I203" s="45">
        <v>91</v>
      </c>
      <c r="J203" s="45">
        <f t="shared" si="2"/>
        <v>73</v>
      </c>
      <c r="K203" s="45"/>
      <c r="L203" s="45">
        <v>150</v>
      </c>
      <c r="M203" s="48"/>
      <c r="N203" s="49">
        <v>1</v>
      </c>
      <c r="O203" s="48"/>
      <c r="P203" s="48"/>
    </row>
    <row r="204" spans="1:16" ht="15.6" x14ac:dyDescent="0.3">
      <c r="A204" s="54">
        <v>46228</v>
      </c>
      <c r="B204" s="56">
        <v>28433</v>
      </c>
      <c r="C204" s="46" t="s">
        <v>353</v>
      </c>
      <c r="D204" s="46" t="s">
        <v>354</v>
      </c>
      <c r="E204" s="95" t="s">
        <v>493</v>
      </c>
      <c r="F204" s="96" t="s">
        <v>485</v>
      </c>
      <c r="G204" s="95" t="s">
        <v>494</v>
      </c>
      <c r="H204" s="45"/>
      <c r="I204" s="45">
        <v>101</v>
      </c>
      <c r="J204" s="45">
        <f t="shared" si="2"/>
        <v>78</v>
      </c>
      <c r="K204" s="45"/>
      <c r="L204" s="45">
        <v>110</v>
      </c>
      <c r="M204" s="48"/>
      <c r="N204" s="49">
        <v>1</v>
      </c>
      <c r="O204" s="48"/>
      <c r="P204" s="48"/>
    </row>
    <row r="205" spans="1:16" ht="15.6" x14ac:dyDescent="0.3">
      <c r="A205" s="54">
        <v>46228</v>
      </c>
      <c r="B205" s="59">
        <v>21865</v>
      </c>
      <c r="C205" s="51" t="s">
        <v>107</v>
      </c>
      <c r="D205" s="51" t="s">
        <v>108</v>
      </c>
      <c r="E205" s="74" t="s">
        <v>529</v>
      </c>
      <c r="F205" s="55" t="s">
        <v>485</v>
      </c>
      <c r="G205" s="77">
        <v>16</v>
      </c>
      <c r="H205" s="45"/>
      <c r="I205" s="45">
        <v>84</v>
      </c>
      <c r="J205" s="45">
        <f t="shared" si="2"/>
        <v>68</v>
      </c>
      <c r="K205" s="45"/>
      <c r="L205" s="45">
        <v>180</v>
      </c>
      <c r="M205" s="48">
        <v>120000</v>
      </c>
      <c r="N205" s="49">
        <v>1</v>
      </c>
      <c r="O205" s="48"/>
      <c r="P205" s="48"/>
    </row>
    <row r="206" spans="1:16" ht="15.6" x14ac:dyDescent="0.3">
      <c r="A206" s="54">
        <v>46228</v>
      </c>
      <c r="B206" s="58">
        <v>18908</v>
      </c>
      <c r="C206" s="51" t="s">
        <v>190</v>
      </c>
      <c r="D206" s="51" t="s">
        <v>88</v>
      </c>
      <c r="E206" s="122" t="s">
        <v>532</v>
      </c>
      <c r="F206" s="112" t="s">
        <v>484</v>
      </c>
      <c r="G206" s="121">
        <v>10</v>
      </c>
      <c r="H206" s="45"/>
      <c r="I206" s="45">
        <v>84</v>
      </c>
      <c r="J206" s="45">
        <f t="shared" si="2"/>
        <v>74</v>
      </c>
      <c r="K206" s="45"/>
      <c r="L206" s="45">
        <v>150</v>
      </c>
      <c r="M206" s="48"/>
      <c r="N206" s="49">
        <v>1</v>
      </c>
      <c r="O206" s="48"/>
      <c r="P206" s="48">
        <v>140000</v>
      </c>
    </row>
    <row r="207" spans="1:16" ht="15.6" x14ac:dyDescent="0.3">
      <c r="A207" s="54">
        <v>46228</v>
      </c>
      <c r="B207" s="119">
        <v>9446</v>
      </c>
      <c r="C207" s="49" t="s">
        <v>285</v>
      </c>
      <c r="D207" s="49" t="s">
        <v>286</v>
      </c>
      <c r="E207" s="74">
        <v>11.8</v>
      </c>
      <c r="F207" s="101" t="s">
        <v>484</v>
      </c>
      <c r="G207" s="77">
        <v>12</v>
      </c>
      <c r="H207" s="45"/>
      <c r="I207" s="45">
        <v>84</v>
      </c>
      <c r="J207" s="45">
        <f t="shared" si="2"/>
        <v>72</v>
      </c>
      <c r="K207" s="45"/>
      <c r="L207" s="45">
        <v>160</v>
      </c>
      <c r="M207" s="48"/>
      <c r="N207" s="49">
        <v>1</v>
      </c>
      <c r="O207" s="48"/>
      <c r="P207" s="48"/>
    </row>
    <row r="208" spans="1:16" ht="15.6" x14ac:dyDescent="0.3">
      <c r="A208" s="54">
        <v>46228</v>
      </c>
      <c r="B208" s="55">
        <v>4080</v>
      </c>
      <c r="C208" s="46" t="s">
        <v>191</v>
      </c>
      <c r="D208" s="46" t="s">
        <v>106</v>
      </c>
      <c r="E208" s="77" t="s">
        <v>531</v>
      </c>
      <c r="F208" s="55" t="s">
        <v>485</v>
      </c>
      <c r="G208" s="120">
        <v>15</v>
      </c>
      <c r="H208" s="45"/>
      <c r="I208" s="45">
        <v>85</v>
      </c>
      <c r="J208" s="45">
        <f t="shared" ref="J208:J271" si="3">I208-G208</f>
        <v>70</v>
      </c>
      <c r="K208" s="45"/>
      <c r="L208" s="45">
        <v>170</v>
      </c>
      <c r="M208" s="48">
        <v>50000</v>
      </c>
      <c r="N208" s="49">
        <v>1</v>
      </c>
      <c r="O208" s="48"/>
      <c r="P208" s="48"/>
    </row>
    <row r="209" spans="1:16" ht="15.6" x14ac:dyDescent="0.3">
      <c r="A209" s="54">
        <v>46228</v>
      </c>
      <c r="B209" s="55">
        <v>30087</v>
      </c>
      <c r="C209" s="46" t="s">
        <v>149</v>
      </c>
      <c r="D209" s="46" t="s">
        <v>150</v>
      </c>
      <c r="E209" s="74" t="s">
        <v>527</v>
      </c>
      <c r="F209" s="55" t="s">
        <v>484</v>
      </c>
      <c r="G209" s="77" t="s">
        <v>514</v>
      </c>
      <c r="H209" s="45"/>
      <c r="I209" s="45">
        <v>87</v>
      </c>
      <c r="J209" s="45">
        <f t="shared" si="3"/>
        <v>76</v>
      </c>
      <c r="K209" s="45"/>
      <c r="L209" s="45">
        <v>130</v>
      </c>
      <c r="M209" s="48"/>
      <c r="N209" s="49">
        <v>1</v>
      </c>
      <c r="O209" s="48"/>
      <c r="P209" s="48"/>
    </row>
    <row r="210" spans="1:16" ht="15.6" x14ac:dyDescent="0.3">
      <c r="A210" s="54">
        <v>46228</v>
      </c>
      <c r="B210" s="55">
        <v>18411</v>
      </c>
      <c r="C210" s="46" t="s">
        <v>28</v>
      </c>
      <c r="D210" s="46" t="s">
        <v>29</v>
      </c>
      <c r="E210" s="74" t="s">
        <v>538</v>
      </c>
      <c r="F210" s="55" t="s">
        <v>485</v>
      </c>
      <c r="G210" s="78" t="s">
        <v>521</v>
      </c>
      <c r="H210" s="45"/>
      <c r="I210" s="45">
        <v>97</v>
      </c>
      <c r="J210" s="45">
        <f t="shared" si="3"/>
        <v>72</v>
      </c>
      <c r="K210" s="45"/>
      <c r="L210" s="45">
        <v>160</v>
      </c>
      <c r="M210" s="48"/>
      <c r="N210" s="49">
        <v>1</v>
      </c>
      <c r="O210" s="48"/>
      <c r="P210" s="48"/>
    </row>
    <row r="211" spans="1:16" ht="15.6" x14ac:dyDescent="0.3">
      <c r="A211" s="54">
        <v>46228</v>
      </c>
      <c r="B211" s="70">
        <v>24140</v>
      </c>
      <c r="C211" s="71" t="s">
        <v>363</v>
      </c>
      <c r="D211" s="71" t="s">
        <v>119</v>
      </c>
      <c r="E211" s="74">
        <v>24.4</v>
      </c>
      <c r="F211" s="101" t="s">
        <v>485</v>
      </c>
      <c r="G211" s="77">
        <v>25</v>
      </c>
      <c r="H211" s="45"/>
      <c r="I211" s="45">
        <v>102</v>
      </c>
      <c r="J211" s="45">
        <f t="shared" si="3"/>
        <v>77</v>
      </c>
      <c r="K211" s="45"/>
      <c r="L211" s="45">
        <v>120</v>
      </c>
      <c r="M211" s="48"/>
      <c r="N211" s="49">
        <v>1</v>
      </c>
      <c r="O211" s="48"/>
      <c r="P211" s="48"/>
    </row>
    <row r="212" spans="1:16" ht="15.6" x14ac:dyDescent="0.3">
      <c r="A212" s="54">
        <v>46228</v>
      </c>
      <c r="B212" s="45">
        <v>24283</v>
      </c>
      <c r="C212" s="45" t="s">
        <v>287</v>
      </c>
      <c r="D212" s="45" t="s">
        <v>288</v>
      </c>
      <c r="E212" s="74">
        <v>27</v>
      </c>
      <c r="F212" s="55" t="s">
        <v>485</v>
      </c>
      <c r="G212" s="77" t="s">
        <v>501</v>
      </c>
      <c r="H212" s="45"/>
      <c r="I212" s="45">
        <v>105</v>
      </c>
      <c r="J212" s="45">
        <f t="shared" si="3"/>
        <v>77</v>
      </c>
      <c r="K212" s="45"/>
      <c r="L212" s="45">
        <v>120</v>
      </c>
      <c r="M212" s="48"/>
      <c r="N212" s="49">
        <v>1</v>
      </c>
      <c r="O212" s="48"/>
      <c r="P212" s="48"/>
    </row>
    <row r="213" spans="1:16" ht="15.6" x14ac:dyDescent="0.3">
      <c r="A213" s="54">
        <v>46228</v>
      </c>
      <c r="B213" s="55">
        <v>30572</v>
      </c>
      <c r="C213" s="46" t="s">
        <v>225</v>
      </c>
      <c r="D213" s="46" t="s">
        <v>226</v>
      </c>
      <c r="E213" s="74" t="s">
        <v>528</v>
      </c>
      <c r="F213" s="55" t="s">
        <v>485</v>
      </c>
      <c r="G213" s="77" t="s">
        <v>492</v>
      </c>
      <c r="H213" s="45"/>
      <c r="I213" s="45">
        <v>91</v>
      </c>
      <c r="J213" s="45">
        <f t="shared" si="3"/>
        <v>72</v>
      </c>
      <c r="K213" s="45"/>
      <c r="L213" s="45">
        <v>160</v>
      </c>
      <c r="M213" s="48"/>
      <c r="N213" s="49">
        <v>1</v>
      </c>
      <c r="O213" s="48"/>
      <c r="P213" s="48"/>
    </row>
    <row r="214" spans="1:16" ht="15.6" x14ac:dyDescent="0.3">
      <c r="A214" s="54">
        <v>46228</v>
      </c>
      <c r="B214" s="55">
        <v>31818</v>
      </c>
      <c r="C214" s="46" t="s">
        <v>235</v>
      </c>
      <c r="D214" s="46" t="s">
        <v>236</v>
      </c>
      <c r="E214" s="95" t="s">
        <v>515</v>
      </c>
      <c r="F214" s="96" t="s">
        <v>484</v>
      </c>
      <c r="G214" s="95" t="s">
        <v>492</v>
      </c>
      <c r="H214" s="45"/>
      <c r="I214" s="45">
        <v>89</v>
      </c>
      <c r="J214" s="45">
        <f t="shared" si="3"/>
        <v>70</v>
      </c>
      <c r="K214" s="45"/>
      <c r="L214" s="45">
        <v>170</v>
      </c>
      <c r="M214" s="48">
        <v>50000</v>
      </c>
      <c r="N214" s="49">
        <v>1</v>
      </c>
      <c r="O214" s="48"/>
      <c r="P214" s="48"/>
    </row>
    <row r="215" spans="1:16" ht="15.6" x14ac:dyDescent="0.3">
      <c r="A215" s="54">
        <v>46228</v>
      </c>
      <c r="B215" s="55">
        <v>27435</v>
      </c>
      <c r="C215" s="46" t="s">
        <v>151</v>
      </c>
      <c r="D215" s="46" t="s">
        <v>152</v>
      </c>
      <c r="E215" s="95" t="s">
        <v>507</v>
      </c>
      <c r="F215" s="96" t="s">
        <v>484</v>
      </c>
      <c r="G215" s="95" t="s">
        <v>497</v>
      </c>
      <c r="H215" s="45"/>
      <c r="I215" s="45">
        <v>79</v>
      </c>
      <c r="J215" s="45">
        <f t="shared" si="3"/>
        <v>67</v>
      </c>
      <c r="K215" s="45"/>
      <c r="L215" s="45">
        <v>190</v>
      </c>
      <c r="M215" s="48">
        <v>160000</v>
      </c>
      <c r="N215" s="49">
        <v>1</v>
      </c>
      <c r="O215" s="48"/>
      <c r="P215" s="48"/>
    </row>
    <row r="216" spans="1:16" ht="15.6" x14ac:dyDescent="0.3">
      <c r="A216" s="54">
        <v>46228</v>
      </c>
      <c r="B216" s="55">
        <v>16552</v>
      </c>
      <c r="C216" s="46" t="s">
        <v>272</v>
      </c>
      <c r="D216" s="46" t="s">
        <v>273</v>
      </c>
      <c r="E216" s="97" t="s">
        <v>534</v>
      </c>
      <c r="F216" s="97" t="s">
        <v>484</v>
      </c>
      <c r="G216" s="123" t="s">
        <v>497</v>
      </c>
      <c r="H216" s="45"/>
      <c r="I216" s="45">
        <v>87</v>
      </c>
      <c r="J216" s="45">
        <f t="shared" si="3"/>
        <v>75</v>
      </c>
      <c r="K216" s="45"/>
      <c r="L216" s="45">
        <v>140</v>
      </c>
      <c r="M216" s="48"/>
      <c r="N216" s="49">
        <v>1</v>
      </c>
      <c r="O216" s="48"/>
      <c r="P216" s="48"/>
    </row>
    <row r="217" spans="1:16" ht="15.6" x14ac:dyDescent="0.3">
      <c r="A217" s="54">
        <v>46228</v>
      </c>
      <c r="B217" s="55">
        <v>13625</v>
      </c>
      <c r="C217" s="46" t="s">
        <v>222</v>
      </c>
      <c r="D217" s="46" t="s">
        <v>223</v>
      </c>
      <c r="E217" s="55" t="s">
        <v>520</v>
      </c>
      <c r="F217" s="55" t="s">
        <v>484</v>
      </c>
      <c r="G217" s="120" t="s">
        <v>506</v>
      </c>
      <c r="H217" s="45"/>
      <c r="I217" s="45">
        <v>82</v>
      </c>
      <c r="J217" s="45">
        <f t="shared" si="3"/>
        <v>72</v>
      </c>
      <c r="K217" s="45"/>
      <c r="L217" s="45">
        <v>160</v>
      </c>
      <c r="M217" s="48"/>
      <c r="N217" s="49">
        <v>1</v>
      </c>
      <c r="O217" s="48"/>
      <c r="P217" s="48"/>
    </row>
    <row r="218" spans="1:16" ht="15.6" x14ac:dyDescent="0.3">
      <c r="A218" s="54">
        <v>46228</v>
      </c>
      <c r="B218" s="55">
        <v>12724</v>
      </c>
      <c r="C218" s="46" t="s">
        <v>460</v>
      </c>
      <c r="D218" s="46" t="s">
        <v>246</v>
      </c>
      <c r="E218" s="55" t="s">
        <v>505</v>
      </c>
      <c r="F218" s="55" t="s">
        <v>484</v>
      </c>
      <c r="G218" s="120" t="s">
        <v>506</v>
      </c>
      <c r="H218" s="45"/>
      <c r="I218" s="45">
        <v>74</v>
      </c>
      <c r="J218" s="45">
        <f t="shared" si="3"/>
        <v>64</v>
      </c>
      <c r="K218" s="45"/>
      <c r="L218" s="45">
        <v>200</v>
      </c>
      <c r="M218" s="48">
        <v>200000</v>
      </c>
      <c r="N218" s="49">
        <v>1</v>
      </c>
      <c r="O218" s="48"/>
      <c r="P218" s="48"/>
    </row>
    <row r="219" spans="1:16" ht="15.6" x14ac:dyDescent="0.3">
      <c r="A219" s="54">
        <v>46228</v>
      </c>
      <c r="B219" s="55">
        <v>28225</v>
      </c>
      <c r="C219" s="46" t="s">
        <v>222</v>
      </c>
      <c r="D219" s="46" t="s">
        <v>233</v>
      </c>
      <c r="E219" s="55" t="s">
        <v>490</v>
      </c>
      <c r="F219" s="55" t="s">
        <v>484</v>
      </c>
      <c r="G219" s="120" t="s">
        <v>533</v>
      </c>
      <c r="H219" s="45"/>
      <c r="I219" s="45">
        <v>95</v>
      </c>
      <c r="J219" s="45">
        <f t="shared" si="3"/>
        <v>81</v>
      </c>
      <c r="K219" s="45"/>
      <c r="L219" s="45">
        <v>100</v>
      </c>
      <c r="M219" s="48"/>
      <c r="N219" s="49">
        <v>1</v>
      </c>
      <c r="O219" s="48"/>
      <c r="P219" s="48"/>
    </row>
    <row r="220" spans="1:16" ht="15.6" x14ac:dyDescent="0.3">
      <c r="A220" s="54">
        <v>46235</v>
      </c>
      <c r="B220" s="45">
        <v>24283</v>
      </c>
      <c r="C220" s="45" t="s">
        <v>287</v>
      </c>
      <c r="D220" s="45" t="s">
        <v>288</v>
      </c>
      <c r="E220" s="110">
        <v>27</v>
      </c>
      <c r="F220" s="55" t="s">
        <v>485</v>
      </c>
      <c r="G220" s="77" t="s">
        <v>501</v>
      </c>
      <c r="H220" s="45"/>
      <c r="I220" s="45">
        <v>110</v>
      </c>
      <c r="J220" s="45">
        <f t="shared" si="3"/>
        <v>82</v>
      </c>
      <c r="K220" s="45"/>
      <c r="L220" s="45">
        <v>110</v>
      </c>
      <c r="M220" s="48"/>
      <c r="N220" s="49">
        <v>1</v>
      </c>
      <c r="O220" s="48"/>
      <c r="P220" s="48"/>
    </row>
    <row r="221" spans="1:16" ht="15.6" x14ac:dyDescent="0.3">
      <c r="A221" s="54">
        <v>46235</v>
      </c>
      <c r="B221" s="55">
        <v>15107</v>
      </c>
      <c r="C221" s="46" t="s">
        <v>153</v>
      </c>
      <c r="D221" s="46" t="s">
        <v>154</v>
      </c>
      <c r="E221" s="110" t="s">
        <v>525</v>
      </c>
      <c r="F221" s="55" t="s">
        <v>484</v>
      </c>
      <c r="G221" s="77" t="s">
        <v>492</v>
      </c>
      <c r="H221" s="45"/>
      <c r="I221" s="45">
        <v>90</v>
      </c>
      <c r="J221" s="45">
        <f t="shared" si="3"/>
        <v>71</v>
      </c>
      <c r="K221" s="45">
        <v>1</v>
      </c>
      <c r="L221" s="45">
        <v>200</v>
      </c>
      <c r="M221" s="48">
        <v>160000</v>
      </c>
      <c r="N221" s="49">
        <v>1</v>
      </c>
      <c r="O221" s="48"/>
      <c r="P221" s="48">
        <v>150000</v>
      </c>
    </row>
    <row r="222" spans="1:16" ht="15.6" x14ac:dyDescent="0.3">
      <c r="A222" s="54">
        <v>46235</v>
      </c>
      <c r="B222" s="55">
        <v>30087</v>
      </c>
      <c r="C222" s="46" t="s">
        <v>149</v>
      </c>
      <c r="D222" s="46" t="s">
        <v>150</v>
      </c>
      <c r="E222" s="110" t="s">
        <v>527</v>
      </c>
      <c r="F222" s="55" t="s">
        <v>484</v>
      </c>
      <c r="G222" s="77" t="s">
        <v>514</v>
      </c>
      <c r="H222" s="45"/>
      <c r="I222" s="45">
        <v>82</v>
      </c>
      <c r="J222" s="45">
        <f t="shared" si="3"/>
        <v>71</v>
      </c>
      <c r="K222" s="45">
        <v>1</v>
      </c>
      <c r="L222" s="45">
        <v>200</v>
      </c>
      <c r="M222" s="48">
        <v>160000</v>
      </c>
      <c r="N222" s="49">
        <v>1</v>
      </c>
      <c r="O222" s="48"/>
      <c r="P222" s="48"/>
    </row>
    <row r="223" spans="1:16" ht="15.6" x14ac:dyDescent="0.3">
      <c r="A223" s="54">
        <v>46235</v>
      </c>
      <c r="B223" s="55">
        <v>30572</v>
      </c>
      <c r="C223" s="46" t="s">
        <v>225</v>
      </c>
      <c r="D223" s="46" t="s">
        <v>226</v>
      </c>
      <c r="E223" s="110" t="s">
        <v>528</v>
      </c>
      <c r="F223" s="55" t="s">
        <v>485</v>
      </c>
      <c r="G223" s="77" t="s">
        <v>492</v>
      </c>
      <c r="H223" s="45"/>
      <c r="I223" s="45">
        <v>92</v>
      </c>
      <c r="J223" s="45">
        <f t="shared" si="3"/>
        <v>73</v>
      </c>
      <c r="K223" s="45"/>
      <c r="L223" s="45">
        <v>190</v>
      </c>
      <c r="M223" s="48">
        <v>90000</v>
      </c>
      <c r="N223" s="49">
        <v>1</v>
      </c>
      <c r="O223" s="48"/>
      <c r="P223" s="48"/>
    </row>
    <row r="224" spans="1:16" ht="15.6" x14ac:dyDescent="0.3">
      <c r="A224" s="54">
        <v>46235</v>
      </c>
      <c r="B224" s="59">
        <v>21865</v>
      </c>
      <c r="C224" s="51" t="s">
        <v>107</v>
      </c>
      <c r="D224" s="51" t="s">
        <v>108</v>
      </c>
      <c r="E224" s="110" t="s">
        <v>529</v>
      </c>
      <c r="F224" s="55" t="s">
        <v>485</v>
      </c>
      <c r="G224" s="77">
        <v>16</v>
      </c>
      <c r="H224" s="45"/>
      <c r="I224" s="45">
        <v>94</v>
      </c>
      <c r="J224" s="45">
        <f t="shared" si="3"/>
        <v>78</v>
      </c>
      <c r="K224" s="45">
        <v>1</v>
      </c>
      <c r="L224" s="45">
        <v>150</v>
      </c>
      <c r="M224" s="48"/>
      <c r="N224" s="49">
        <v>1</v>
      </c>
      <c r="O224" s="48"/>
      <c r="P224" s="48"/>
    </row>
    <row r="225" spans="1:16" ht="15.6" x14ac:dyDescent="0.3">
      <c r="A225" s="54">
        <v>46235</v>
      </c>
      <c r="B225" s="55">
        <v>7891</v>
      </c>
      <c r="C225" s="46" t="s">
        <v>220</v>
      </c>
      <c r="D225" s="46" t="s">
        <v>221</v>
      </c>
      <c r="E225" s="110" t="s">
        <v>530</v>
      </c>
      <c r="F225" s="55" t="s">
        <v>485</v>
      </c>
      <c r="G225" s="77" t="s">
        <v>488</v>
      </c>
      <c r="H225" s="45"/>
      <c r="I225" s="45">
        <v>96</v>
      </c>
      <c r="J225" s="45">
        <f t="shared" si="3"/>
        <v>78</v>
      </c>
      <c r="K225" s="45"/>
      <c r="L225" s="45">
        <v>150</v>
      </c>
      <c r="M225" s="48"/>
      <c r="N225" s="49">
        <v>1</v>
      </c>
      <c r="O225" s="48"/>
      <c r="P225" s="48"/>
    </row>
    <row r="226" spans="1:16" ht="15.6" x14ac:dyDescent="0.3">
      <c r="A226" s="54">
        <v>46235</v>
      </c>
      <c r="B226" s="55">
        <v>4080</v>
      </c>
      <c r="C226" s="46" t="s">
        <v>191</v>
      </c>
      <c r="D226" s="46" t="s">
        <v>106</v>
      </c>
      <c r="E226" s="111" t="s">
        <v>531</v>
      </c>
      <c r="F226" s="55" t="s">
        <v>485</v>
      </c>
      <c r="G226" s="120">
        <v>15</v>
      </c>
      <c r="H226" s="45"/>
      <c r="I226" s="45">
        <v>94</v>
      </c>
      <c r="J226" s="45">
        <f t="shared" si="3"/>
        <v>79</v>
      </c>
      <c r="K226" s="45"/>
      <c r="L226" s="45">
        <v>140</v>
      </c>
      <c r="M226" s="48"/>
      <c r="N226" s="49">
        <v>1</v>
      </c>
      <c r="O226" s="48"/>
      <c r="P226" s="48"/>
    </row>
    <row r="227" spans="1:16" ht="15.6" x14ac:dyDescent="0.3">
      <c r="A227" s="54">
        <v>46235</v>
      </c>
      <c r="B227" s="58">
        <v>18908</v>
      </c>
      <c r="C227" s="51" t="s">
        <v>190</v>
      </c>
      <c r="D227" s="51" t="s">
        <v>88</v>
      </c>
      <c r="E227" s="112" t="s">
        <v>532</v>
      </c>
      <c r="F227" s="112" t="s">
        <v>484</v>
      </c>
      <c r="G227" s="121">
        <v>10</v>
      </c>
      <c r="H227" s="45"/>
      <c r="I227" s="45">
        <v>85</v>
      </c>
      <c r="J227" s="45">
        <f t="shared" si="3"/>
        <v>75</v>
      </c>
      <c r="K227" s="45">
        <v>1</v>
      </c>
      <c r="L227" s="45">
        <v>180</v>
      </c>
      <c r="M227" s="48"/>
      <c r="N227" s="49">
        <v>1</v>
      </c>
      <c r="O227" s="48"/>
      <c r="P227" s="48"/>
    </row>
    <row r="228" spans="1:16" ht="15.6" x14ac:dyDescent="0.3">
      <c r="A228" s="54">
        <v>46235</v>
      </c>
      <c r="B228" s="55">
        <v>26953</v>
      </c>
      <c r="C228" s="46" t="s">
        <v>120</v>
      </c>
      <c r="D228" s="46" t="s">
        <v>121</v>
      </c>
      <c r="E228" s="97" t="s">
        <v>509</v>
      </c>
      <c r="F228" s="55" t="s">
        <v>484</v>
      </c>
      <c r="G228" s="120" t="s">
        <v>510</v>
      </c>
      <c r="H228" s="45"/>
      <c r="I228" s="45">
        <v>89</v>
      </c>
      <c r="J228" s="45">
        <f t="shared" si="3"/>
        <v>81</v>
      </c>
      <c r="K228" s="45"/>
      <c r="L228" s="45">
        <v>120</v>
      </c>
      <c r="M228" s="48"/>
      <c r="N228" s="49">
        <v>1</v>
      </c>
      <c r="O228" s="48"/>
      <c r="P228" s="48"/>
    </row>
    <row r="229" spans="1:16" ht="15.6" x14ac:dyDescent="0.3">
      <c r="A229" s="54">
        <v>46235</v>
      </c>
      <c r="B229" s="55">
        <v>13625</v>
      </c>
      <c r="C229" s="46" t="s">
        <v>222</v>
      </c>
      <c r="D229" s="46" t="s">
        <v>223</v>
      </c>
      <c r="E229" s="55" t="s">
        <v>520</v>
      </c>
      <c r="F229" s="55" t="s">
        <v>484</v>
      </c>
      <c r="G229" s="120">
        <v>10</v>
      </c>
      <c r="H229" s="45"/>
      <c r="I229" s="45">
        <v>81</v>
      </c>
      <c r="J229" s="45">
        <f t="shared" si="3"/>
        <v>71</v>
      </c>
      <c r="K229" s="45"/>
      <c r="L229" s="45">
        <v>200</v>
      </c>
      <c r="M229" s="48">
        <v>160000</v>
      </c>
      <c r="N229" s="49">
        <v>1</v>
      </c>
      <c r="O229" s="48"/>
      <c r="P229" s="48"/>
    </row>
    <row r="230" spans="1:16" ht="15.6" x14ac:dyDescent="0.3">
      <c r="A230" s="54">
        <v>46235</v>
      </c>
      <c r="B230" s="55">
        <v>12724</v>
      </c>
      <c r="C230" s="46" t="s">
        <v>460</v>
      </c>
      <c r="D230" s="46" t="s">
        <v>246</v>
      </c>
      <c r="E230" s="55" t="s">
        <v>505</v>
      </c>
      <c r="F230" s="55" t="s">
        <v>484</v>
      </c>
      <c r="G230" s="120" t="s">
        <v>506</v>
      </c>
      <c r="H230" s="45"/>
      <c r="I230" s="45">
        <v>90</v>
      </c>
      <c r="J230" s="45">
        <f t="shared" si="3"/>
        <v>80</v>
      </c>
      <c r="K230" s="45"/>
      <c r="L230" s="45">
        <v>130</v>
      </c>
      <c r="M230" s="48"/>
      <c r="N230" s="49">
        <v>1</v>
      </c>
      <c r="O230" s="48"/>
      <c r="P230" s="48"/>
    </row>
    <row r="231" spans="1:16" ht="15.6" x14ac:dyDescent="0.3">
      <c r="A231" s="54">
        <v>46235</v>
      </c>
      <c r="B231" s="55">
        <v>28225</v>
      </c>
      <c r="C231" s="46" t="s">
        <v>222</v>
      </c>
      <c r="D231" s="46" t="s">
        <v>233</v>
      </c>
      <c r="E231" s="55" t="s">
        <v>490</v>
      </c>
      <c r="F231" s="55" t="s">
        <v>484</v>
      </c>
      <c r="G231" s="120" t="s">
        <v>533</v>
      </c>
      <c r="H231" s="45"/>
      <c r="I231" s="45">
        <v>99</v>
      </c>
      <c r="J231" s="45">
        <f t="shared" si="3"/>
        <v>85</v>
      </c>
      <c r="K231" s="45"/>
      <c r="L231" s="45">
        <v>100</v>
      </c>
      <c r="M231" s="48"/>
      <c r="N231" s="49">
        <v>1</v>
      </c>
      <c r="O231" s="48"/>
      <c r="P231" s="48"/>
    </row>
    <row r="232" spans="1:16" ht="15.6" x14ac:dyDescent="0.3">
      <c r="A232" s="54">
        <v>46235</v>
      </c>
      <c r="B232" s="55">
        <v>16552</v>
      </c>
      <c r="C232" s="46" t="s">
        <v>272</v>
      </c>
      <c r="D232" s="46" t="s">
        <v>273</v>
      </c>
      <c r="E232" s="97" t="s">
        <v>534</v>
      </c>
      <c r="F232" s="97" t="s">
        <v>484</v>
      </c>
      <c r="G232" s="78">
        <v>12</v>
      </c>
      <c r="H232" s="45"/>
      <c r="I232" s="45">
        <v>92</v>
      </c>
      <c r="J232" s="45">
        <f t="shared" si="3"/>
        <v>80</v>
      </c>
      <c r="K232" s="45"/>
      <c r="L232" s="45">
        <v>130</v>
      </c>
      <c r="M232" s="48"/>
      <c r="N232" s="49">
        <v>1</v>
      </c>
      <c r="O232" s="48"/>
      <c r="P232" s="48"/>
    </row>
    <row r="233" spans="1:16" ht="15.6" x14ac:dyDescent="0.3">
      <c r="A233" s="54">
        <v>46235</v>
      </c>
      <c r="B233" s="55">
        <v>16260</v>
      </c>
      <c r="C233" s="46" t="s">
        <v>270</v>
      </c>
      <c r="D233" s="46" t="s">
        <v>271</v>
      </c>
      <c r="E233" s="110" t="s">
        <v>536</v>
      </c>
      <c r="F233" s="55" t="s">
        <v>484</v>
      </c>
      <c r="G233" s="77" t="s">
        <v>492</v>
      </c>
      <c r="H233" s="45"/>
      <c r="I233" s="45">
        <v>95</v>
      </c>
      <c r="J233" s="45">
        <f t="shared" si="3"/>
        <v>76</v>
      </c>
      <c r="K233" s="45"/>
      <c r="L233" s="45">
        <v>170</v>
      </c>
      <c r="M233" s="48"/>
      <c r="N233" s="49">
        <v>1</v>
      </c>
      <c r="O233" s="48"/>
      <c r="P233" s="48"/>
    </row>
    <row r="234" spans="1:16" ht="15.6" x14ac:dyDescent="0.3">
      <c r="A234" s="54">
        <v>46235</v>
      </c>
      <c r="B234" s="55">
        <v>18411</v>
      </c>
      <c r="C234" s="46" t="s">
        <v>28</v>
      </c>
      <c r="D234" s="46" t="s">
        <v>29</v>
      </c>
      <c r="E234" s="110" t="s">
        <v>538</v>
      </c>
      <c r="F234" s="55" t="s">
        <v>485</v>
      </c>
      <c r="G234" s="78" t="s">
        <v>521</v>
      </c>
      <c r="H234" s="45"/>
      <c r="I234" s="45">
        <v>111</v>
      </c>
      <c r="J234" s="45">
        <f t="shared" si="3"/>
        <v>86</v>
      </c>
      <c r="K234" s="45"/>
      <c r="L234" s="45">
        <v>90</v>
      </c>
      <c r="M234" s="48"/>
      <c r="N234" s="49">
        <v>1</v>
      </c>
      <c r="O234" s="48"/>
      <c r="P234" s="48"/>
    </row>
    <row r="235" spans="1:16" ht="15.6" x14ac:dyDescent="0.3">
      <c r="A235" s="54">
        <v>46235</v>
      </c>
      <c r="B235" s="113">
        <v>33318</v>
      </c>
      <c r="C235" s="45" t="s">
        <v>539</v>
      </c>
      <c r="D235" s="51" t="s">
        <v>97</v>
      </c>
      <c r="E235" s="60">
        <v>8.1999999999999993</v>
      </c>
      <c r="F235" s="55" t="s">
        <v>484</v>
      </c>
      <c r="G235" s="95">
        <v>8</v>
      </c>
      <c r="H235" s="45"/>
      <c r="I235" s="45">
        <v>85</v>
      </c>
      <c r="J235" s="45">
        <f t="shared" si="3"/>
        <v>77</v>
      </c>
      <c r="K235" s="45"/>
      <c r="L235" s="45">
        <v>160</v>
      </c>
      <c r="M235" s="48"/>
      <c r="N235" s="49">
        <v>1</v>
      </c>
      <c r="O235" s="48"/>
      <c r="P235" s="48"/>
    </row>
    <row r="236" spans="1:16" ht="15.6" x14ac:dyDescent="0.3">
      <c r="A236" s="54">
        <v>46242</v>
      </c>
      <c r="B236" s="146">
        <v>28433</v>
      </c>
      <c r="C236" s="45" t="s">
        <v>353</v>
      </c>
      <c r="D236" s="45" t="s">
        <v>354</v>
      </c>
      <c r="E236" s="110">
        <v>23.8</v>
      </c>
      <c r="F236" s="55" t="s">
        <v>485</v>
      </c>
      <c r="G236" s="77">
        <v>24</v>
      </c>
      <c r="H236" s="124"/>
      <c r="I236" s="45">
        <v>103</v>
      </c>
      <c r="J236" s="45">
        <f t="shared" si="3"/>
        <v>79</v>
      </c>
      <c r="K236" s="45">
        <v>1</v>
      </c>
      <c r="L236" s="45">
        <v>140</v>
      </c>
      <c r="M236" s="48"/>
      <c r="N236" s="49">
        <v>1</v>
      </c>
      <c r="O236" s="48"/>
      <c r="P236" s="48"/>
    </row>
    <row r="237" spans="1:16" ht="15.6" x14ac:dyDescent="0.3">
      <c r="A237" s="54">
        <v>46242</v>
      </c>
      <c r="B237" s="55">
        <v>15107</v>
      </c>
      <c r="C237" s="46" t="s">
        <v>153</v>
      </c>
      <c r="D237" s="46" t="s">
        <v>154</v>
      </c>
      <c r="E237" s="110">
        <v>17.600000000000001</v>
      </c>
      <c r="F237" s="55" t="s">
        <v>484</v>
      </c>
      <c r="G237" s="77">
        <v>19</v>
      </c>
      <c r="H237" s="124"/>
      <c r="I237" s="45">
        <v>99</v>
      </c>
      <c r="J237" s="45">
        <f t="shared" si="3"/>
        <v>80</v>
      </c>
      <c r="K237" s="45"/>
      <c r="L237" s="45">
        <v>130</v>
      </c>
      <c r="M237" s="48"/>
      <c r="N237" s="49">
        <v>1</v>
      </c>
      <c r="O237" s="48"/>
      <c r="P237" s="48">
        <v>120000</v>
      </c>
    </row>
    <row r="238" spans="1:16" ht="15.6" x14ac:dyDescent="0.3">
      <c r="A238" s="54">
        <v>46242</v>
      </c>
      <c r="B238" s="110">
        <v>21865</v>
      </c>
      <c r="C238" s="46" t="s">
        <v>107</v>
      </c>
      <c r="D238" s="46" t="s">
        <v>108</v>
      </c>
      <c r="E238" s="110">
        <v>16.7</v>
      </c>
      <c r="F238" s="55" t="s">
        <v>485</v>
      </c>
      <c r="G238" s="77">
        <v>16</v>
      </c>
      <c r="H238" s="124"/>
      <c r="I238" s="45">
        <v>87</v>
      </c>
      <c r="J238" s="45">
        <f t="shared" si="3"/>
        <v>71</v>
      </c>
      <c r="K238" s="45">
        <v>1</v>
      </c>
      <c r="L238" s="45">
        <v>170</v>
      </c>
      <c r="M238" s="48"/>
      <c r="N238" s="49">
        <v>1</v>
      </c>
      <c r="O238" s="48"/>
      <c r="P238" s="48"/>
    </row>
    <row r="239" spans="1:16" ht="15.6" x14ac:dyDescent="0.3">
      <c r="A239" s="54">
        <v>46242</v>
      </c>
      <c r="B239" s="110">
        <v>7891</v>
      </c>
      <c r="C239" s="46" t="s">
        <v>220</v>
      </c>
      <c r="D239" s="46" t="s">
        <v>221</v>
      </c>
      <c r="E239" s="110">
        <v>18.399999999999999</v>
      </c>
      <c r="F239" s="55" t="s">
        <v>485</v>
      </c>
      <c r="G239" s="77">
        <v>18</v>
      </c>
      <c r="H239" s="124"/>
      <c r="I239" s="45">
        <v>88</v>
      </c>
      <c r="J239" s="45">
        <f t="shared" si="3"/>
        <v>70</v>
      </c>
      <c r="K239" s="45"/>
      <c r="L239" s="45">
        <v>180</v>
      </c>
      <c r="M239" s="48">
        <v>35000</v>
      </c>
      <c r="N239" s="49">
        <v>1</v>
      </c>
      <c r="O239" s="48"/>
      <c r="P239" s="48"/>
    </row>
    <row r="240" spans="1:16" ht="15.6" x14ac:dyDescent="0.3">
      <c r="A240" s="54">
        <v>46242</v>
      </c>
      <c r="B240" s="110">
        <v>14084</v>
      </c>
      <c r="C240" s="46" t="s">
        <v>39</v>
      </c>
      <c r="D240" s="46" t="s">
        <v>40</v>
      </c>
      <c r="E240" s="111">
        <v>14.7</v>
      </c>
      <c r="F240" s="55" t="s">
        <v>484</v>
      </c>
      <c r="G240" s="77">
        <v>16</v>
      </c>
      <c r="H240" s="124"/>
      <c r="I240" s="45">
        <v>89</v>
      </c>
      <c r="J240" s="45">
        <f t="shared" si="3"/>
        <v>73</v>
      </c>
      <c r="K240" s="45">
        <v>1</v>
      </c>
      <c r="L240" s="45">
        <v>160</v>
      </c>
      <c r="M240" s="48"/>
      <c r="N240" s="49">
        <v>1</v>
      </c>
      <c r="O240" s="48"/>
      <c r="P240" s="48"/>
    </row>
    <row r="241" spans="1:16" ht="15.6" x14ac:dyDescent="0.3">
      <c r="A241" s="54">
        <v>46242</v>
      </c>
      <c r="B241" s="147">
        <v>22156</v>
      </c>
      <c r="C241" s="51" t="s">
        <v>231</v>
      </c>
      <c r="D241" s="51" t="s">
        <v>232</v>
      </c>
      <c r="E241" s="148">
        <v>21.5</v>
      </c>
      <c r="F241" s="112" t="s">
        <v>485</v>
      </c>
      <c r="G241" s="121">
        <v>22</v>
      </c>
      <c r="H241" s="124"/>
      <c r="I241" s="45">
        <v>103</v>
      </c>
      <c r="J241" s="45">
        <f t="shared" si="3"/>
        <v>81</v>
      </c>
      <c r="K241" s="45"/>
      <c r="L241" s="45">
        <v>120</v>
      </c>
      <c r="M241" s="48"/>
      <c r="N241" s="49">
        <v>1</v>
      </c>
      <c r="O241" s="48"/>
      <c r="P241" s="48"/>
    </row>
    <row r="242" spans="1:16" ht="15.6" x14ac:dyDescent="0.3">
      <c r="A242" s="54">
        <v>46242</v>
      </c>
      <c r="B242" s="110">
        <v>24140</v>
      </c>
      <c r="C242" s="46" t="s">
        <v>363</v>
      </c>
      <c r="D242" s="46" t="s">
        <v>119</v>
      </c>
      <c r="E242" s="111">
        <v>26.1</v>
      </c>
      <c r="F242" s="55" t="s">
        <v>485</v>
      </c>
      <c r="G242" s="77">
        <v>27</v>
      </c>
      <c r="H242" s="124"/>
      <c r="I242" s="45">
        <v>97</v>
      </c>
      <c r="J242" s="45">
        <f t="shared" si="3"/>
        <v>70</v>
      </c>
      <c r="K242" s="45"/>
      <c r="L242" s="45">
        <v>180</v>
      </c>
      <c r="M242" s="48">
        <v>35000</v>
      </c>
      <c r="N242" s="49">
        <v>1</v>
      </c>
      <c r="O242" s="48"/>
      <c r="P242" s="48"/>
    </row>
    <row r="243" spans="1:16" ht="15.6" x14ac:dyDescent="0.3">
      <c r="A243" s="54">
        <v>46242</v>
      </c>
      <c r="B243" s="110">
        <v>30087</v>
      </c>
      <c r="C243" s="46" t="s">
        <v>149</v>
      </c>
      <c r="D243" s="46" t="s">
        <v>150</v>
      </c>
      <c r="E243" s="110">
        <v>11.2</v>
      </c>
      <c r="F243" s="55" t="s">
        <v>484</v>
      </c>
      <c r="G243" s="77">
        <v>11</v>
      </c>
      <c r="H243" s="124"/>
      <c r="I243" s="45">
        <v>86</v>
      </c>
      <c r="J243" s="45">
        <f t="shared" si="3"/>
        <v>75</v>
      </c>
      <c r="K243" s="45"/>
      <c r="L243" s="45">
        <v>150</v>
      </c>
      <c r="M243" s="48"/>
      <c r="N243" s="49">
        <v>1</v>
      </c>
      <c r="O243" s="48"/>
      <c r="P243" s="48"/>
    </row>
    <row r="244" spans="1:16" ht="15.6" x14ac:dyDescent="0.3">
      <c r="A244" s="54">
        <v>46242</v>
      </c>
      <c r="B244" s="110">
        <v>24283</v>
      </c>
      <c r="C244" s="46" t="s">
        <v>287</v>
      </c>
      <c r="D244" s="46" t="s">
        <v>288</v>
      </c>
      <c r="E244" s="110">
        <v>27.3</v>
      </c>
      <c r="F244" s="55" t="s">
        <v>485</v>
      </c>
      <c r="G244" s="77">
        <v>28</v>
      </c>
      <c r="H244" s="124"/>
      <c r="I244" s="45">
        <v>97</v>
      </c>
      <c r="J244" s="45">
        <f t="shared" si="3"/>
        <v>69</v>
      </c>
      <c r="K244" s="45"/>
      <c r="L244" s="45">
        <v>190</v>
      </c>
      <c r="M244" s="48">
        <v>90000</v>
      </c>
      <c r="N244" s="49">
        <v>1</v>
      </c>
      <c r="O244" s="48"/>
      <c r="P244" s="48"/>
    </row>
    <row r="245" spans="1:16" ht="15.6" x14ac:dyDescent="0.3">
      <c r="A245" s="54">
        <v>46242</v>
      </c>
      <c r="B245" s="110">
        <v>18411</v>
      </c>
      <c r="C245" s="46" t="s">
        <v>28</v>
      </c>
      <c r="D245" s="46" t="s">
        <v>29</v>
      </c>
      <c r="E245" s="110">
        <v>25.4</v>
      </c>
      <c r="F245" s="55" t="s">
        <v>485</v>
      </c>
      <c r="G245" s="77">
        <v>26</v>
      </c>
      <c r="H245" s="124"/>
      <c r="I245" s="45">
        <v>110</v>
      </c>
      <c r="J245" s="45">
        <f t="shared" si="3"/>
        <v>84</v>
      </c>
      <c r="K245" s="45"/>
      <c r="L245" s="45">
        <v>110</v>
      </c>
      <c r="M245" s="48"/>
      <c r="N245" s="49">
        <v>1</v>
      </c>
      <c r="O245" s="48"/>
      <c r="P245" s="48"/>
    </row>
    <row r="246" spans="1:16" ht="15.6" x14ac:dyDescent="0.3">
      <c r="A246" s="54">
        <v>46242</v>
      </c>
      <c r="B246" s="110">
        <v>32182</v>
      </c>
      <c r="C246" s="46" t="s">
        <v>188</v>
      </c>
      <c r="D246" s="46" t="s">
        <v>189</v>
      </c>
      <c r="E246" s="111">
        <v>22.5</v>
      </c>
      <c r="F246" s="97" t="s">
        <v>485</v>
      </c>
      <c r="G246" s="78">
        <v>23</v>
      </c>
      <c r="H246" s="124"/>
      <c r="I246" s="45">
        <v>96</v>
      </c>
      <c r="J246" s="45">
        <f t="shared" si="3"/>
        <v>73</v>
      </c>
      <c r="K246" s="45"/>
      <c r="L246" s="45">
        <v>160</v>
      </c>
      <c r="M246" s="48"/>
      <c r="N246" s="49">
        <v>1</v>
      </c>
      <c r="O246" s="48"/>
      <c r="P246" s="48"/>
    </row>
    <row r="247" spans="1:16" ht="15.6" x14ac:dyDescent="0.3">
      <c r="A247" s="54">
        <v>46242</v>
      </c>
      <c r="B247" s="55">
        <v>16260</v>
      </c>
      <c r="C247" s="46" t="s">
        <v>270</v>
      </c>
      <c r="D247" s="46" t="s">
        <v>271</v>
      </c>
      <c r="E247" s="110">
        <v>17.100000000000001</v>
      </c>
      <c r="F247" s="55" t="s">
        <v>484</v>
      </c>
      <c r="G247" s="77">
        <v>19</v>
      </c>
      <c r="H247" s="124"/>
      <c r="I247" s="45">
        <v>94</v>
      </c>
      <c r="J247" s="45">
        <f t="shared" si="3"/>
        <v>75</v>
      </c>
      <c r="K247" s="45">
        <v>1</v>
      </c>
      <c r="L247" s="45">
        <v>150</v>
      </c>
      <c r="M247" s="48"/>
      <c r="N247" s="49">
        <v>1</v>
      </c>
      <c r="O247" s="48"/>
      <c r="P247" s="48"/>
    </row>
    <row r="248" spans="1:16" ht="15.6" x14ac:dyDescent="0.3">
      <c r="A248" s="54">
        <v>46242</v>
      </c>
      <c r="B248" s="55">
        <v>28225</v>
      </c>
      <c r="C248" s="46" t="s">
        <v>222</v>
      </c>
      <c r="D248" s="46" t="s">
        <v>233</v>
      </c>
      <c r="E248" s="110">
        <v>13</v>
      </c>
      <c r="F248" s="55" t="s">
        <v>484</v>
      </c>
      <c r="G248" s="77">
        <v>14</v>
      </c>
      <c r="H248" s="45"/>
      <c r="I248" s="45">
        <v>82</v>
      </c>
      <c r="J248" s="45">
        <f t="shared" si="3"/>
        <v>68</v>
      </c>
      <c r="K248" s="45"/>
      <c r="L248" s="45">
        <v>200</v>
      </c>
      <c r="M248" s="48">
        <v>160000</v>
      </c>
      <c r="N248" s="49">
        <v>1</v>
      </c>
      <c r="O248" s="48"/>
      <c r="P248" s="48"/>
    </row>
    <row r="249" spans="1:16" ht="15.6" x14ac:dyDescent="0.3">
      <c r="A249" s="54">
        <v>46242</v>
      </c>
      <c r="B249" s="55">
        <v>1396</v>
      </c>
      <c r="C249" s="46" t="s">
        <v>66</v>
      </c>
      <c r="D249" s="46" t="s">
        <v>67</v>
      </c>
      <c r="E249" s="60" t="s">
        <v>568</v>
      </c>
      <c r="F249" s="55" t="s">
        <v>485</v>
      </c>
      <c r="G249" s="95">
        <v>20</v>
      </c>
      <c r="H249" s="45"/>
      <c r="I249" s="50">
        <v>88</v>
      </c>
      <c r="J249" s="45">
        <f t="shared" si="3"/>
        <v>68</v>
      </c>
      <c r="K249" s="45"/>
      <c r="L249" s="45">
        <v>200</v>
      </c>
      <c r="M249" s="48">
        <v>160000</v>
      </c>
      <c r="N249" s="49">
        <v>1</v>
      </c>
      <c r="O249" s="48"/>
      <c r="P249" s="48"/>
    </row>
    <row r="250" spans="1:16" ht="15.6" x14ac:dyDescent="0.3">
      <c r="A250" s="54">
        <v>46249</v>
      </c>
      <c r="B250" s="110">
        <v>7891</v>
      </c>
      <c r="C250" s="46" t="s">
        <v>220</v>
      </c>
      <c r="D250" s="46" t="s">
        <v>221</v>
      </c>
      <c r="E250" s="110">
        <v>18.399999999999999</v>
      </c>
      <c r="F250" s="55" t="s">
        <v>485</v>
      </c>
      <c r="G250" s="149">
        <v>18</v>
      </c>
      <c r="H250" s="45"/>
      <c r="I250" s="50">
        <v>90</v>
      </c>
      <c r="J250" s="50">
        <f t="shared" si="3"/>
        <v>72</v>
      </c>
      <c r="K250" s="45"/>
      <c r="L250" s="50">
        <v>170</v>
      </c>
      <c r="M250" s="48"/>
      <c r="N250" s="49">
        <v>1</v>
      </c>
      <c r="O250" s="48"/>
      <c r="P250" s="48"/>
    </row>
    <row r="251" spans="1:16" ht="15.6" x14ac:dyDescent="0.3">
      <c r="A251" s="54">
        <v>46249</v>
      </c>
      <c r="B251" s="146">
        <v>28433</v>
      </c>
      <c r="C251" s="45" t="s">
        <v>353</v>
      </c>
      <c r="D251" s="45" t="s">
        <v>354</v>
      </c>
      <c r="E251" s="110">
        <v>23.8</v>
      </c>
      <c r="F251" s="55" t="s">
        <v>485</v>
      </c>
      <c r="G251" s="149">
        <v>24</v>
      </c>
      <c r="H251" s="45"/>
      <c r="I251" s="50">
        <v>105</v>
      </c>
      <c r="J251" s="50">
        <f t="shared" si="3"/>
        <v>81</v>
      </c>
      <c r="K251" s="45"/>
      <c r="L251" s="50">
        <v>120</v>
      </c>
      <c r="M251" s="48"/>
      <c r="N251" s="49">
        <v>1</v>
      </c>
      <c r="O251" s="48"/>
      <c r="P251" s="48"/>
    </row>
    <row r="252" spans="1:16" ht="15.6" x14ac:dyDescent="0.3">
      <c r="A252" s="54">
        <v>46249</v>
      </c>
      <c r="B252" s="55">
        <v>30572</v>
      </c>
      <c r="C252" s="46" t="s">
        <v>225</v>
      </c>
      <c r="D252" s="46" t="s">
        <v>226</v>
      </c>
      <c r="E252" s="110">
        <v>19.2</v>
      </c>
      <c r="F252" s="55" t="s">
        <v>485</v>
      </c>
      <c r="G252" s="77">
        <v>20</v>
      </c>
      <c r="H252" s="45"/>
      <c r="I252" s="50">
        <v>108</v>
      </c>
      <c r="J252" s="50">
        <f t="shared" si="3"/>
        <v>88</v>
      </c>
      <c r="K252" s="45"/>
      <c r="L252" s="50">
        <v>90</v>
      </c>
      <c r="M252" s="48"/>
      <c r="N252" s="49">
        <v>1</v>
      </c>
      <c r="O252" s="48"/>
      <c r="P252" s="48"/>
    </row>
    <row r="253" spans="1:16" ht="15.6" x14ac:dyDescent="0.3">
      <c r="A253" s="54">
        <v>46249</v>
      </c>
      <c r="B253" s="147">
        <v>22156</v>
      </c>
      <c r="C253" s="51" t="s">
        <v>231</v>
      </c>
      <c r="D253" s="51" t="s">
        <v>232</v>
      </c>
      <c r="E253" s="148">
        <v>21.5</v>
      </c>
      <c r="F253" s="112" t="s">
        <v>485</v>
      </c>
      <c r="G253" s="121">
        <v>21</v>
      </c>
      <c r="H253" s="45"/>
      <c r="I253" s="50">
        <v>96</v>
      </c>
      <c r="J253" s="50">
        <f t="shared" si="3"/>
        <v>75</v>
      </c>
      <c r="K253" s="45"/>
      <c r="L253" s="45">
        <v>150</v>
      </c>
      <c r="M253" s="48"/>
      <c r="N253" s="49">
        <v>1</v>
      </c>
      <c r="O253" s="48"/>
      <c r="P253" s="48"/>
    </row>
    <row r="254" spans="1:16" ht="15.6" x14ac:dyDescent="0.3">
      <c r="A254" s="54">
        <v>46249</v>
      </c>
      <c r="B254" s="110">
        <v>24140</v>
      </c>
      <c r="C254" s="46" t="s">
        <v>363</v>
      </c>
      <c r="D254" s="46" t="s">
        <v>119</v>
      </c>
      <c r="E254" s="111">
        <v>26.1</v>
      </c>
      <c r="F254" s="55" t="s">
        <v>485</v>
      </c>
      <c r="G254" s="77">
        <v>27</v>
      </c>
      <c r="H254" s="45"/>
      <c r="I254" s="50">
        <v>113</v>
      </c>
      <c r="J254" s="50">
        <f t="shared" si="3"/>
        <v>86</v>
      </c>
      <c r="K254" s="45"/>
      <c r="L254" s="45">
        <v>100</v>
      </c>
      <c r="M254" s="48"/>
      <c r="N254" s="49">
        <v>1</v>
      </c>
      <c r="O254" s="48"/>
      <c r="P254" s="48"/>
    </row>
    <row r="255" spans="1:16" ht="15.6" x14ac:dyDescent="0.3">
      <c r="A255" s="54">
        <v>46249</v>
      </c>
      <c r="B255" s="45">
        <v>27233</v>
      </c>
      <c r="C255" s="45" t="s">
        <v>193</v>
      </c>
      <c r="D255" s="45" t="s">
        <v>194</v>
      </c>
      <c r="E255" s="110">
        <v>27.2</v>
      </c>
      <c r="F255" s="55" t="s">
        <v>485</v>
      </c>
      <c r="G255" s="77">
        <v>28</v>
      </c>
      <c r="H255" s="45"/>
      <c r="I255" s="50">
        <v>106</v>
      </c>
      <c r="J255" s="50">
        <f t="shared" si="3"/>
        <v>78</v>
      </c>
      <c r="K255" s="45"/>
      <c r="L255" s="45">
        <v>130</v>
      </c>
      <c r="M255" s="48"/>
      <c r="N255" s="49">
        <v>1</v>
      </c>
      <c r="O255" s="48"/>
      <c r="P255" s="48"/>
    </row>
    <row r="256" spans="1:16" ht="15.6" x14ac:dyDescent="0.3">
      <c r="A256" s="54">
        <v>46249</v>
      </c>
      <c r="B256" s="110">
        <v>18411</v>
      </c>
      <c r="C256" s="46" t="s">
        <v>28</v>
      </c>
      <c r="D256" s="46" t="s">
        <v>29</v>
      </c>
      <c r="E256" s="110">
        <v>25.4</v>
      </c>
      <c r="F256" s="55" t="s">
        <v>485</v>
      </c>
      <c r="G256" s="77">
        <v>26</v>
      </c>
      <c r="H256" s="45"/>
      <c r="I256" s="50">
        <v>98</v>
      </c>
      <c r="J256" s="50">
        <f t="shared" si="3"/>
        <v>72</v>
      </c>
      <c r="K256" s="45">
        <v>1</v>
      </c>
      <c r="L256" s="45">
        <v>170</v>
      </c>
      <c r="M256" s="48">
        <v>90000</v>
      </c>
      <c r="N256" s="49">
        <v>1</v>
      </c>
      <c r="O256" s="48"/>
      <c r="P256" s="48"/>
    </row>
    <row r="257" spans="1:16" ht="15.6" x14ac:dyDescent="0.3">
      <c r="A257" s="54">
        <v>46249</v>
      </c>
      <c r="B257" s="110">
        <v>24283</v>
      </c>
      <c r="C257" s="46" t="s">
        <v>287</v>
      </c>
      <c r="D257" s="46" t="s">
        <v>288</v>
      </c>
      <c r="E257" s="110">
        <v>27.3</v>
      </c>
      <c r="F257" s="55" t="s">
        <v>485</v>
      </c>
      <c r="G257" s="77">
        <v>27</v>
      </c>
      <c r="H257" s="45"/>
      <c r="I257" s="50">
        <v>92</v>
      </c>
      <c r="J257" s="50">
        <f t="shared" si="3"/>
        <v>65</v>
      </c>
      <c r="K257" s="45"/>
      <c r="L257" s="45">
        <v>200</v>
      </c>
      <c r="M257" s="48">
        <v>220000</v>
      </c>
      <c r="N257" s="49">
        <v>1</v>
      </c>
      <c r="O257" s="48"/>
      <c r="P257" s="48"/>
    </row>
    <row r="258" spans="1:16" ht="15.6" x14ac:dyDescent="0.3">
      <c r="A258" s="54">
        <v>46249</v>
      </c>
      <c r="B258" s="55">
        <v>16260</v>
      </c>
      <c r="C258" s="46" t="s">
        <v>270</v>
      </c>
      <c r="D258" s="46" t="s">
        <v>271</v>
      </c>
      <c r="E258" s="110">
        <v>17.100000000000001</v>
      </c>
      <c r="F258" s="55" t="s">
        <v>484</v>
      </c>
      <c r="G258" s="77">
        <v>17</v>
      </c>
      <c r="H258" s="45"/>
      <c r="I258" s="50">
        <v>92</v>
      </c>
      <c r="J258" s="50">
        <f t="shared" si="3"/>
        <v>75</v>
      </c>
      <c r="K258" s="45"/>
      <c r="L258" s="45">
        <v>150</v>
      </c>
      <c r="M258" s="48"/>
      <c r="N258" s="49">
        <v>1</v>
      </c>
      <c r="O258" s="48"/>
      <c r="P258" s="48"/>
    </row>
    <row r="259" spans="1:16" ht="15.6" x14ac:dyDescent="0.3">
      <c r="A259" s="54">
        <v>46249</v>
      </c>
      <c r="B259" s="55">
        <v>15107</v>
      </c>
      <c r="C259" s="46" t="s">
        <v>153</v>
      </c>
      <c r="D259" s="46" t="s">
        <v>154</v>
      </c>
      <c r="E259" s="110">
        <v>17.600000000000001</v>
      </c>
      <c r="F259" s="55" t="s">
        <v>484</v>
      </c>
      <c r="G259" s="77">
        <v>17</v>
      </c>
      <c r="H259" s="45"/>
      <c r="I259" s="50">
        <v>85</v>
      </c>
      <c r="J259" s="50">
        <f t="shared" si="3"/>
        <v>68</v>
      </c>
      <c r="K259" s="45">
        <v>1</v>
      </c>
      <c r="L259" s="45">
        <v>190</v>
      </c>
      <c r="M259" s="48">
        <v>150000</v>
      </c>
      <c r="N259" s="49">
        <v>1</v>
      </c>
      <c r="O259" s="48"/>
      <c r="P259" s="48">
        <v>140000</v>
      </c>
    </row>
    <row r="260" spans="1:16" ht="15.6" x14ac:dyDescent="0.3">
      <c r="A260" s="54">
        <v>46249</v>
      </c>
      <c r="B260" s="55">
        <v>3936</v>
      </c>
      <c r="C260" s="46" t="s">
        <v>462</v>
      </c>
      <c r="D260" s="46" t="s">
        <v>463</v>
      </c>
      <c r="E260" s="146">
        <v>17.899999999999999</v>
      </c>
      <c r="F260" s="60" t="s">
        <v>484</v>
      </c>
      <c r="G260" s="95">
        <v>18</v>
      </c>
      <c r="H260" s="45"/>
      <c r="I260" s="50">
        <v>92</v>
      </c>
      <c r="J260" s="50">
        <f t="shared" si="3"/>
        <v>74</v>
      </c>
      <c r="K260" s="45"/>
      <c r="L260" s="45">
        <v>160</v>
      </c>
      <c r="M260" s="48"/>
      <c r="N260" s="49">
        <v>1</v>
      </c>
      <c r="O260" s="48"/>
      <c r="P260" s="48"/>
    </row>
    <row r="261" spans="1:16" ht="15.6" x14ac:dyDescent="0.3">
      <c r="A261" s="54">
        <v>46249</v>
      </c>
      <c r="B261" s="55">
        <v>31818</v>
      </c>
      <c r="C261" s="46" t="s">
        <v>235</v>
      </c>
      <c r="D261" s="46" t="s">
        <v>236</v>
      </c>
      <c r="E261" s="146">
        <v>17.600000000000001</v>
      </c>
      <c r="F261" s="60" t="s">
        <v>484</v>
      </c>
      <c r="G261" s="95">
        <v>17</v>
      </c>
      <c r="H261" s="45"/>
      <c r="I261" s="50">
        <v>102</v>
      </c>
      <c r="J261" s="50">
        <f t="shared" si="3"/>
        <v>85</v>
      </c>
      <c r="K261" s="45"/>
      <c r="L261" s="45">
        <v>110</v>
      </c>
      <c r="M261" s="48"/>
      <c r="N261" s="49">
        <v>1</v>
      </c>
      <c r="O261" s="48"/>
      <c r="P261" s="48"/>
    </row>
    <row r="262" spans="1:16" ht="15.6" x14ac:dyDescent="0.3">
      <c r="A262" s="54">
        <v>46249</v>
      </c>
      <c r="B262" s="58">
        <v>18908</v>
      </c>
      <c r="C262" s="51" t="s">
        <v>190</v>
      </c>
      <c r="D262" s="51" t="s">
        <v>88</v>
      </c>
      <c r="E262" s="158">
        <v>9.8000000000000007</v>
      </c>
      <c r="F262" s="55" t="s">
        <v>485</v>
      </c>
      <c r="G262" s="121">
        <v>9</v>
      </c>
      <c r="H262" s="45"/>
      <c r="I262" s="50">
        <v>85</v>
      </c>
      <c r="J262" s="50">
        <f t="shared" si="3"/>
        <v>76</v>
      </c>
      <c r="K262" s="45">
        <v>1</v>
      </c>
      <c r="L262" s="45">
        <v>140</v>
      </c>
      <c r="M262" s="48"/>
      <c r="N262" s="49">
        <v>1</v>
      </c>
      <c r="O262" s="48"/>
      <c r="P262" s="48"/>
    </row>
    <row r="263" spans="1:16" ht="15.6" x14ac:dyDescent="0.3">
      <c r="A263" s="54">
        <v>46249</v>
      </c>
      <c r="B263" s="110">
        <v>14084</v>
      </c>
      <c r="C263" s="46" t="s">
        <v>39</v>
      </c>
      <c r="D263" s="46" t="s">
        <v>40</v>
      </c>
      <c r="E263" s="111">
        <v>14.7</v>
      </c>
      <c r="F263" s="55" t="s">
        <v>484</v>
      </c>
      <c r="G263" s="77">
        <v>16</v>
      </c>
      <c r="H263" s="45"/>
      <c r="I263" s="50">
        <v>88</v>
      </c>
      <c r="J263" s="50">
        <f t="shared" si="3"/>
        <v>72</v>
      </c>
      <c r="K263" s="45">
        <v>2</v>
      </c>
      <c r="L263" s="45">
        <v>170</v>
      </c>
      <c r="M263" s="48"/>
      <c r="N263" s="49">
        <v>1</v>
      </c>
      <c r="O263" s="48"/>
      <c r="P263" s="48"/>
    </row>
    <row r="264" spans="1:16" ht="15.6" x14ac:dyDescent="0.3">
      <c r="A264" s="54">
        <v>46249</v>
      </c>
      <c r="B264" s="55">
        <v>12724</v>
      </c>
      <c r="C264" s="46" t="s">
        <v>460</v>
      </c>
      <c r="D264" s="46" t="s">
        <v>246</v>
      </c>
      <c r="E264" s="110">
        <v>9.9</v>
      </c>
      <c r="F264" s="55" t="s">
        <v>484</v>
      </c>
      <c r="G264" s="120">
        <v>12</v>
      </c>
      <c r="H264" s="45"/>
      <c r="I264" s="50">
        <v>83</v>
      </c>
      <c r="J264" s="50">
        <f t="shared" si="3"/>
        <v>71</v>
      </c>
      <c r="K264" s="45"/>
      <c r="L264" s="45">
        <v>180</v>
      </c>
      <c r="M264" s="48">
        <v>120000</v>
      </c>
      <c r="N264" s="49">
        <v>1</v>
      </c>
      <c r="O264" s="48"/>
      <c r="P264" s="48"/>
    </row>
    <row r="265" spans="1:16" ht="15.6" x14ac:dyDescent="0.3">
      <c r="A265" s="54">
        <v>46249</v>
      </c>
      <c r="B265" s="55">
        <v>26953</v>
      </c>
      <c r="C265" s="46" t="s">
        <v>120</v>
      </c>
      <c r="D265" s="46" t="s">
        <v>121</v>
      </c>
      <c r="E265" s="111">
        <v>8.3000000000000007</v>
      </c>
      <c r="F265" s="55" t="s">
        <v>484</v>
      </c>
      <c r="G265" s="77">
        <v>8</v>
      </c>
      <c r="H265" s="45"/>
      <c r="I265" s="50">
        <v>80</v>
      </c>
      <c r="J265" s="50">
        <f t="shared" si="3"/>
        <v>72</v>
      </c>
      <c r="K265" s="45"/>
      <c r="L265" s="45">
        <v>170</v>
      </c>
      <c r="M265" s="48"/>
      <c r="N265" s="49">
        <v>1</v>
      </c>
      <c r="O265" s="48"/>
      <c r="P265" s="48"/>
    </row>
    <row r="266" spans="1:16" ht="15.6" x14ac:dyDescent="0.3">
      <c r="A266" s="54">
        <v>46256</v>
      </c>
      <c r="B266" s="110">
        <v>15107</v>
      </c>
      <c r="C266" s="46" t="s">
        <v>153</v>
      </c>
      <c r="D266" s="46" t="s">
        <v>154</v>
      </c>
      <c r="E266" s="110">
        <v>16.8</v>
      </c>
      <c r="F266" s="55" t="s">
        <v>484</v>
      </c>
      <c r="G266" s="149">
        <v>16</v>
      </c>
      <c r="H266" s="45"/>
      <c r="I266" s="45">
        <v>91</v>
      </c>
      <c r="J266" s="50">
        <f t="shared" si="3"/>
        <v>75</v>
      </c>
      <c r="K266" s="45">
        <v>1</v>
      </c>
      <c r="L266" s="45">
        <v>160</v>
      </c>
      <c r="M266" s="48"/>
      <c r="N266" s="49">
        <v>1</v>
      </c>
      <c r="O266" s="48"/>
      <c r="P266" s="48"/>
    </row>
    <row r="267" spans="1:16" ht="15.6" x14ac:dyDescent="0.3">
      <c r="A267" s="54">
        <v>46256</v>
      </c>
      <c r="B267" s="110">
        <v>7891</v>
      </c>
      <c r="C267" s="46" t="s">
        <v>220</v>
      </c>
      <c r="D267" s="46" t="s">
        <v>221</v>
      </c>
      <c r="E267" s="110">
        <v>18.899999999999999</v>
      </c>
      <c r="F267" s="55" t="s">
        <v>485</v>
      </c>
      <c r="G267" s="159">
        <v>19</v>
      </c>
      <c r="H267" s="45"/>
      <c r="I267" s="45">
        <v>99</v>
      </c>
      <c r="J267" s="50">
        <f t="shared" si="3"/>
        <v>80</v>
      </c>
      <c r="K267" s="45"/>
      <c r="L267" s="45">
        <v>110</v>
      </c>
      <c r="M267" s="48"/>
      <c r="N267" s="49">
        <v>1</v>
      </c>
      <c r="O267" s="48"/>
      <c r="P267" s="48"/>
    </row>
    <row r="268" spans="1:16" ht="15.6" x14ac:dyDescent="0.3">
      <c r="A268" s="54">
        <v>46256</v>
      </c>
      <c r="B268" s="110">
        <v>24283</v>
      </c>
      <c r="C268" s="46" t="s">
        <v>287</v>
      </c>
      <c r="D268" s="46" t="s">
        <v>288</v>
      </c>
      <c r="E268" s="110">
        <v>25.8</v>
      </c>
      <c r="F268" s="55" t="s">
        <v>485</v>
      </c>
      <c r="G268" s="77">
        <v>26</v>
      </c>
      <c r="H268" s="45"/>
      <c r="I268" s="45">
        <v>99</v>
      </c>
      <c r="J268" s="50">
        <f t="shared" si="3"/>
        <v>73</v>
      </c>
      <c r="K268" s="45"/>
      <c r="L268" s="45">
        <v>170</v>
      </c>
      <c r="M268" s="48">
        <v>45000</v>
      </c>
      <c r="N268" s="49">
        <v>1</v>
      </c>
      <c r="O268" s="48"/>
      <c r="P268" s="48"/>
    </row>
    <row r="269" spans="1:16" ht="15.6" x14ac:dyDescent="0.3">
      <c r="A269" s="54">
        <v>46256</v>
      </c>
      <c r="B269" s="110">
        <v>30087</v>
      </c>
      <c r="C269" s="46" t="s">
        <v>149</v>
      </c>
      <c r="D269" s="46" t="s">
        <v>150</v>
      </c>
      <c r="E269" s="110">
        <v>11.4</v>
      </c>
      <c r="F269" s="112" t="s">
        <v>484</v>
      </c>
      <c r="G269" s="121">
        <v>12</v>
      </c>
      <c r="H269" s="45"/>
      <c r="I269" s="45">
        <v>80</v>
      </c>
      <c r="J269" s="50">
        <f t="shared" si="3"/>
        <v>68</v>
      </c>
      <c r="K269" s="45">
        <v>1</v>
      </c>
      <c r="L269" s="45">
        <v>190</v>
      </c>
      <c r="M269" s="48">
        <v>150000</v>
      </c>
      <c r="N269" s="49">
        <v>1</v>
      </c>
      <c r="O269" s="48"/>
      <c r="P269" s="48"/>
    </row>
    <row r="270" spans="1:16" ht="15.6" x14ac:dyDescent="0.3">
      <c r="A270" s="54">
        <v>46256</v>
      </c>
      <c r="B270" s="110">
        <v>21865</v>
      </c>
      <c r="C270" s="46" t="s">
        <v>107</v>
      </c>
      <c r="D270" s="46" t="s">
        <v>108</v>
      </c>
      <c r="E270" s="110">
        <v>16.399999999999999</v>
      </c>
      <c r="F270" s="55" t="s">
        <v>485</v>
      </c>
      <c r="G270" s="77">
        <v>16</v>
      </c>
      <c r="H270" s="45"/>
      <c r="I270" s="45">
        <v>95</v>
      </c>
      <c r="J270" s="50">
        <f t="shared" si="3"/>
        <v>79</v>
      </c>
      <c r="K270" s="45">
        <v>1</v>
      </c>
      <c r="L270" s="45">
        <v>120</v>
      </c>
      <c r="M270" s="48"/>
      <c r="N270" s="49">
        <v>1</v>
      </c>
      <c r="O270" s="48"/>
      <c r="P270" s="48"/>
    </row>
    <row r="271" spans="1:16" ht="15.6" x14ac:dyDescent="0.3">
      <c r="A271" s="54">
        <v>46256</v>
      </c>
      <c r="B271" s="147">
        <v>18908</v>
      </c>
      <c r="C271" s="51" t="s">
        <v>190</v>
      </c>
      <c r="D271" s="51" t="s">
        <v>88</v>
      </c>
      <c r="E271" s="158">
        <v>10.9</v>
      </c>
      <c r="F271" s="55" t="s">
        <v>485</v>
      </c>
      <c r="G271" s="77">
        <v>10</v>
      </c>
      <c r="H271" s="45"/>
      <c r="I271" s="45">
        <v>83</v>
      </c>
      <c r="J271" s="50">
        <f t="shared" si="3"/>
        <v>73</v>
      </c>
      <c r="K271" s="45"/>
      <c r="L271" s="45">
        <v>170</v>
      </c>
      <c r="M271" s="48">
        <v>45000</v>
      </c>
      <c r="N271" s="49">
        <v>1</v>
      </c>
      <c r="O271" s="48"/>
      <c r="P271" s="48"/>
    </row>
    <row r="272" spans="1:16" ht="15.6" x14ac:dyDescent="0.3">
      <c r="A272" s="54">
        <v>46256</v>
      </c>
      <c r="B272" s="110">
        <v>12724</v>
      </c>
      <c r="C272" s="46" t="s">
        <v>460</v>
      </c>
      <c r="D272" s="46" t="s">
        <v>246</v>
      </c>
      <c r="E272" s="110">
        <v>10.8</v>
      </c>
      <c r="F272" s="55" t="s">
        <v>484</v>
      </c>
      <c r="G272" s="77">
        <v>11</v>
      </c>
      <c r="H272" s="45"/>
      <c r="I272" s="45">
        <v>87</v>
      </c>
      <c r="J272" s="50">
        <f t="shared" ref="J272:J305" si="4">I272-G272</f>
        <v>76</v>
      </c>
      <c r="K272" s="45"/>
      <c r="L272" s="45">
        <v>150</v>
      </c>
      <c r="M272" s="48"/>
      <c r="N272" s="49">
        <v>1</v>
      </c>
      <c r="O272" s="48"/>
      <c r="P272" s="48"/>
    </row>
    <row r="273" spans="1:16" ht="15.6" x14ac:dyDescent="0.3">
      <c r="A273" s="54">
        <v>46256</v>
      </c>
      <c r="B273" s="110">
        <v>28225</v>
      </c>
      <c r="C273" s="46" t="s">
        <v>222</v>
      </c>
      <c r="D273" s="46" t="s">
        <v>233</v>
      </c>
      <c r="E273" s="110">
        <v>12.7</v>
      </c>
      <c r="F273" s="55" t="s">
        <v>484</v>
      </c>
      <c r="G273" s="77">
        <v>13</v>
      </c>
      <c r="H273" s="45"/>
      <c r="I273" s="45">
        <v>97</v>
      </c>
      <c r="J273" s="50">
        <f t="shared" si="4"/>
        <v>84</v>
      </c>
      <c r="K273" s="45">
        <v>1</v>
      </c>
      <c r="L273" s="45">
        <v>90</v>
      </c>
      <c r="M273" s="48"/>
      <c r="N273" s="49">
        <v>1</v>
      </c>
      <c r="O273" s="48"/>
      <c r="P273" s="48">
        <v>150000</v>
      </c>
    </row>
    <row r="274" spans="1:16" ht="15.6" x14ac:dyDescent="0.3">
      <c r="A274" s="54">
        <v>46256</v>
      </c>
      <c r="B274" s="110">
        <v>30572</v>
      </c>
      <c r="C274" s="46" t="s">
        <v>225</v>
      </c>
      <c r="D274" s="46" t="s">
        <v>226</v>
      </c>
      <c r="E274" s="110">
        <v>19.8</v>
      </c>
      <c r="F274" s="55" t="s">
        <v>485</v>
      </c>
      <c r="G274" s="77">
        <v>20</v>
      </c>
      <c r="H274" s="45"/>
      <c r="I274" s="45">
        <v>103</v>
      </c>
      <c r="J274" s="50">
        <f t="shared" si="4"/>
        <v>83</v>
      </c>
      <c r="K274" s="45"/>
      <c r="L274" s="45">
        <v>100</v>
      </c>
      <c r="M274" s="48"/>
      <c r="N274" s="49">
        <v>1</v>
      </c>
      <c r="O274" s="48"/>
      <c r="P274" s="48"/>
    </row>
    <row r="275" spans="1:16" ht="15.6" x14ac:dyDescent="0.3">
      <c r="A275" s="54">
        <v>46256</v>
      </c>
      <c r="B275" s="147">
        <v>22156</v>
      </c>
      <c r="C275" s="51" t="s">
        <v>231</v>
      </c>
      <c r="D275" s="51" t="s">
        <v>232</v>
      </c>
      <c r="E275" s="148">
        <v>21.2</v>
      </c>
      <c r="F275" s="55" t="s">
        <v>485</v>
      </c>
      <c r="G275" s="77">
        <v>21</v>
      </c>
      <c r="H275" s="45"/>
      <c r="I275" s="45">
        <v>99</v>
      </c>
      <c r="J275" s="50">
        <f t="shared" si="4"/>
        <v>78</v>
      </c>
      <c r="K275" s="45"/>
      <c r="L275" s="45">
        <v>130</v>
      </c>
      <c r="M275" s="48"/>
      <c r="N275" s="49">
        <v>1</v>
      </c>
      <c r="O275" s="48"/>
      <c r="P275" s="48"/>
    </row>
    <row r="276" spans="1:16" ht="15.6" x14ac:dyDescent="0.3">
      <c r="A276" s="54">
        <v>46256</v>
      </c>
      <c r="B276" s="146">
        <v>28433</v>
      </c>
      <c r="C276" s="45" t="s">
        <v>353</v>
      </c>
      <c r="D276" s="45" t="s">
        <v>354</v>
      </c>
      <c r="E276" s="110">
        <v>24.2</v>
      </c>
      <c r="F276" s="60" t="s">
        <v>485</v>
      </c>
      <c r="G276" s="80">
        <v>25</v>
      </c>
      <c r="H276" s="45"/>
      <c r="I276" s="45">
        <v>103</v>
      </c>
      <c r="J276" s="50">
        <f t="shared" si="4"/>
        <v>78</v>
      </c>
      <c r="K276" s="45"/>
      <c r="L276" s="45">
        <v>130</v>
      </c>
      <c r="M276" s="48"/>
      <c r="N276" s="49">
        <v>1</v>
      </c>
      <c r="O276" s="48"/>
      <c r="P276" s="48"/>
    </row>
    <row r="277" spans="1:16" ht="15.6" x14ac:dyDescent="0.3">
      <c r="A277" s="54">
        <v>46256</v>
      </c>
      <c r="B277" s="110">
        <v>13625</v>
      </c>
      <c r="C277" s="46" t="s">
        <v>222</v>
      </c>
      <c r="D277" s="46" t="s">
        <v>223</v>
      </c>
      <c r="E277" s="110">
        <v>10.1</v>
      </c>
      <c r="F277" s="60" t="s">
        <v>484</v>
      </c>
      <c r="G277" s="80">
        <v>10</v>
      </c>
      <c r="H277" s="45"/>
      <c r="I277" s="45">
        <v>77</v>
      </c>
      <c r="J277" s="50">
        <f t="shared" si="4"/>
        <v>67</v>
      </c>
      <c r="K277" s="45"/>
      <c r="L277" s="45">
        <v>200</v>
      </c>
      <c r="M277" s="48">
        <v>220000</v>
      </c>
      <c r="N277" s="49">
        <v>1</v>
      </c>
      <c r="O277" s="48"/>
      <c r="P277" s="48"/>
    </row>
    <row r="278" spans="1:16" ht="15.6" x14ac:dyDescent="0.3">
      <c r="A278" s="54">
        <v>46256</v>
      </c>
      <c r="B278" s="110">
        <v>4080</v>
      </c>
      <c r="C278" s="46" t="s">
        <v>191</v>
      </c>
      <c r="D278" s="46" t="s">
        <v>106</v>
      </c>
      <c r="E278" s="111">
        <v>15.2</v>
      </c>
      <c r="F278" s="55" t="s">
        <v>485</v>
      </c>
      <c r="G278" s="121">
        <v>15</v>
      </c>
      <c r="H278" s="45"/>
      <c r="I278" s="45">
        <v>84</v>
      </c>
      <c r="J278" s="50">
        <f t="shared" si="4"/>
        <v>69</v>
      </c>
      <c r="K278" s="45"/>
      <c r="L278" s="45">
        <v>180</v>
      </c>
      <c r="M278" s="48">
        <v>110000</v>
      </c>
      <c r="N278" s="49">
        <v>1</v>
      </c>
      <c r="O278" s="48"/>
      <c r="P278" s="48"/>
    </row>
    <row r="279" spans="1:16" ht="15.6" x14ac:dyDescent="0.3">
      <c r="A279" s="54">
        <v>46256</v>
      </c>
      <c r="B279" s="157">
        <v>27233</v>
      </c>
      <c r="C279" s="45" t="s">
        <v>193</v>
      </c>
      <c r="D279" s="45" t="s">
        <v>194</v>
      </c>
      <c r="E279" s="110">
        <v>28.1</v>
      </c>
      <c r="F279" s="55" t="s">
        <v>485</v>
      </c>
      <c r="G279" s="77">
        <v>29</v>
      </c>
      <c r="H279" s="45"/>
      <c r="I279" s="45">
        <v>113</v>
      </c>
      <c r="J279" s="50">
        <f t="shared" si="4"/>
        <v>84</v>
      </c>
      <c r="K279" s="45"/>
      <c r="L279" s="45">
        <v>90</v>
      </c>
      <c r="M279" s="48"/>
      <c r="N279" s="49">
        <v>1</v>
      </c>
      <c r="O279" s="48"/>
      <c r="P279" s="48"/>
    </row>
    <row r="280" spans="1:16" ht="15.6" x14ac:dyDescent="0.3">
      <c r="A280" s="54">
        <v>46256</v>
      </c>
      <c r="B280" s="55">
        <v>14824</v>
      </c>
      <c r="C280" s="46" t="s">
        <v>364</v>
      </c>
      <c r="D280" s="46" t="s">
        <v>365</v>
      </c>
      <c r="E280" s="110">
        <v>19.5</v>
      </c>
      <c r="F280" s="55" t="s">
        <v>485</v>
      </c>
      <c r="G280" s="77">
        <v>19</v>
      </c>
      <c r="H280" s="45"/>
      <c r="I280" s="45">
        <v>105</v>
      </c>
      <c r="J280" s="50">
        <f t="shared" si="4"/>
        <v>86</v>
      </c>
      <c r="K280" s="45"/>
      <c r="L280" s="45">
        <v>80</v>
      </c>
      <c r="M280" s="48"/>
      <c r="N280" s="49">
        <v>1</v>
      </c>
      <c r="O280" s="48"/>
      <c r="P280" s="48"/>
    </row>
    <row r="281" spans="1:16" ht="15.6" x14ac:dyDescent="0.3">
      <c r="A281" s="54">
        <v>46256</v>
      </c>
      <c r="B281" s="110">
        <v>1396</v>
      </c>
      <c r="C281" s="46" t="s">
        <v>66</v>
      </c>
      <c r="D281" s="46" t="s">
        <v>67</v>
      </c>
      <c r="E281" s="146">
        <v>19.8</v>
      </c>
      <c r="F281" s="55" t="s">
        <v>485</v>
      </c>
      <c r="G281" s="77">
        <v>20</v>
      </c>
      <c r="H281" s="45"/>
      <c r="I281" s="45">
        <v>97</v>
      </c>
      <c r="J281" s="50">
        <f t="shared" si="4"/>
        <v>77</v>
      </c>
      <c r="K281" s="45"/>
      <c r="L281" s="45">
        <v>140</v>
      </c>
      <c r="M281" s="48"/>
      <c r="N281" s="49">
        <v>1</v>
      </c>
      <c r="O281" s="48"/>
      <c r="P281" s="48"/>
    </row>
    <row r="282" spans="1:16" ht="15.6" x14ac:dyDescent="0.3">
      <c r="A282" s="54">
        <v>46263</v>
      </c>
      <c r="B282" s="110">
        <v>21865</v>
      </c>
      <c r="C282" s="46" t="s">
        <v>107</v>
      </c>
      <c r="D282" s="46" t="s">
        <v>108</v>
      </c>
      <c r="E282" s="110">
        <v>16.399999999999999</v>
      </c>
      <c r="F282" s="55" t="s">
        <v>485</v>
      </c>
      <c r="G282" s="77">
        <v>16</v>
      </c>
      <c r="H282" s="45"/>
      <c r="I282" s="50">
        <v>88</v>
      </c>
      <c r="J282" s="50">
        <f t="shared" si="4"/>
        <v>72</v>
      </c>
      <c r="K282" s="45"/>
      <c r="L282" s="50">
        <v>190</v>
      </c>
      <c r="M282" s="48">
        <v>110000</v>
      </c>
      <c r="N282" s="49">
        <v>1</v>
      </c>
      <c r="O282" s="48"/>
      <c r="P282" s="48"/>
    </row>
    <row r="283" spans="1:16" ht="15.6" x14ac:dyDescent="0.3">
      <c r="A283" s="54">
        <v>46263</v>
      </c>
      <c r="B283" s="147">
        <v>18908</v>
      </c>
      <c r="C283" s="51" t="s">
        <v>190</v>
      </c>
      <c r="D283" s="51" t="s">
        <v>88</v>
      </c>
      <c r="E283" s="158">
        <v>10.9</v>
      </c>
      <c r="F283" s="55" t="s">
        <v>485</v>
      </c>
      <c r="G283" s="77">
        <v>10</v>
      </c>
      <c r="H283" s="45"/>
      <c r="I283" s="50">
        <v>82</v>
      </c>
      <c r="J283" s="50">
        <f t="shared" si="4"/>
        <v>72</v>
      </c>
      <c r="K283" s="45"/>
      <c r="L283" s="45">
        <v>190</v>
      </c>
      <c r="M283" s="48">
        <v>110000</v>
      </c>
      <c r="N283" s="49">
        <v>1</v>
      </c>
      <c r="O283" s="48"/>
      <c r="P283" s="48"/>
    </row>
    <row r="284" spans="1:16" ht="15.6" x14ac:dyDescent="0.3">
      <c r="A284" s="54">
        <v>46263</v>
      </c>
      <c r="B284" s="110">
        <v>30572</v>
      </c>
      <c r="C284" s="46" t="s">
        <v>225</v>
      </c>
      <c r="D284" s="46" t="s">
        <v>226</v>
      </c>
      <c r="E284" s="110">
        <v>19.8</v>
      </c>
      <c r="F284" s="55" t="s">
        <v>485</v>
      </c>
      <c r="G284" s="77">
        <v>20</v>
      </c>
      <c r="H284" s="45"/>
      <c r="I284" s="50">
        <v>97</v>
      </c>
      <c r="J284" s="50">
        <f t="shared" si="4"/>
        <v>77</v>
      </c>
      <c r="K284" s="45"/>
      <c r="L284" s="45">
        <v>160</v>
      </c>
      <c r="M284" s="48"/>
      <c r="N284" s="49">
        <v>1</v>
      </c>
      <c r="O284" s="48"/>
      <c r="P284" s="48"/>
    </row>
    <row r="285" spans="1:16" ht="15.6" x14ac:dyDescent="0.3">
      <c r="A285" s="54">
        <v>46263</v>
      </c>
      <c r="B285" s="110">
        <v>15107</v>
      </c>
      <c r="C285" s="46" t="s">
        <v>153</v>
      </c>
      <c r="D285" s="46" t="s">
        <v>154</v>
      </c>
      <c r="E285" s="110">
        <v>16.8</v>
      </c>
      <c r="F285" s="55" t="s">
        <v>484</v>
      </c>
      <c r="G285" s="149">
        <v>16</v>
      </c>
      <c r="H285" s="45"/>
      <c r="I285" s="50">
        <v>92</v>
      </c>
      <c r="J285" s="50">
        <f t="shared" si="4"/>
        <v>76</v>
      </c>
      <c r="K285" s="45">
        <v>1</v>
      </c>
      <c r="L285" s="45">
        <v>170</v>
      </c>
      <c r="M285" s="48"/>
      <c r="N285" s="49">
        <v>1</v>
      </c>
      <c r="O285" s="48"/>
      <c r="P285" s="48">
        <v>150000</v>
      </c>
    </row>
    <row r="286" spans="1:16" ht="15.6" x14ac:dyDescent="0.3">
      <c r="A286" s="54">
        <v>46263</v>
      </c>
      <c r="B286" s="60">
        <v>32142</v>
      </c>
      <c r="C286" s="46" t="s">
        <v>47</v>
      </c>
      <c r="D286" s="46" t="s">
        <v>48</v>
      </c>
      <c r="E286" s="110">
        <v>19.5</v>
      </c>
      <c r="F286" s="55" t="s">
        <v>485</v>
      </c>
      <c r="G286" s="77">
        <v>19</v>
      </c>
      <c r="H286" s="45"/>
      <c r="I286" s="50">
        <v>94</v>
      </c>
      <c r="J286" s="50">
        <f t="shared" si="4"/>
        <v>75</v>
      </c>
      <c r="K286" s="45">
        <v>1</v>
      </c>
      <c r="L286" s="45">
        <v>170</v>
      </c>
      <c r="M286" s="48"/>
      <c r="N286" s="49">
        <v>1</v>
      </c>
      <c r="O286" s="48"/>
      <c r="P286" s="48"/>
    </row>
    <row r="287" spans="1:16" ht="15.6" x14ac:dyDescent="0.3">
      <c r="A287" s="54">
        <v>46263</v>
      </c>
      <c r="B287" s="110">
        <v>30087</v>
      </c>
      <c r="C287" s="46" t="s">
        <v>149</v>
      </c>
      <c r="D287" s="46" t="s">
        <v>150</v>
      </c>
      <c r="E287" s="110">
        <v>11.4</v>
      </c>
      <c r="F287" s="112" t="s">
        <v>484</v>
      </c>
      <c r="G287" s="121">
        <v>12</v>
      </c>
      <c r="H287" s="45"/>
      <c r="I287" s="45">
        <v>91</v>
      </c>
      <c r="J287" s="50">
        <f t="shared" si="4"/>
        <v>79</v>
      </c>
      <c r="K287" s="45"/>
      <c r="L287" s="45">
        <v>150</v>
      </c>
      <c r="M287" s="48"/>
      <c r="N287" s="49">
        <v>1</v>
      </c>
      <c r="O287" s="48"/>
      <c r="P287" s="48"/>
    </row>
    <row r="288" spans="1:16" ht="15.6" x14ac:dyDescent="0.3">
      <c r="A288" s="54">
        <v>46263</v>
      </c>
      <c r="B288" s="55">
        <v>16260</v>
      </c>
      <c r="C288" s="46" t="s">
        <v>270</v>
      </c>
      <c r="D288" s="46" t="s">
        <v>271</v>
      </c>
      <c r="E288" s="110">
        <v>17.100000000000001</v>
      </c>
      <c r="F288" s="55" t="s">
        <v>484</v>
      </c>
      <c r="G288" s="77">
        <v>17</v>
      </c>
      <c r="H288" s="45"/>
      <c r="I288" s="45">
        <v>85</v>
      </c>
      <c r="J288" s="50">
        <f t="shared" si="4"/>
        <v>68</v>
      </c>
      <c r="K288" s="45"/>
      <c r="L288" s="45">
        <v>200</v>
      </c>
      <c r="M288" s="48">
        <v>220000</v>
      </c>
      <c r="N288" s="49">
        <v>1</v>
      </c>
      <c r="O288" s="48"/>
      <c r="P288" s="48"/>
    </row>
    <row r="289" spans="1:16" ht="15.6" x14ac:dyDescent="0.3">
      <c r="A289" s="54">
        <v>46263</v>
      </c>
      <c r="B289" s="55">
        <v>33116</v>
      </c>
      <c r="C289" s="46" t="s">
        <v>195</v>
      </c>
      <c r="D289" s="46" t="s">
        <v>196</v>
      </c>
      <c r="E289" s="160">
        <v>24.6</v>
      </c>
      <c r="F289" s="55" t="s">
        <v>485</v>
      </c>
      <c r="G289" s="161">
        <v>25</v>
      </c>
      <c r="H289" s="45"/>
      <c r="I289" s="45">
        <v>102</v>
      </c>
      <c r="J289" s="50">
        <f t="shared" si="4"/>
        <v>77</v>
      </c>
      <c r="K289" s="45"/>
      <c r="L289" s="45">
        <v>160</v>
      </c>
      <c r="M289" s="48"/>
      <c r="N289" s="49">
        <v>1</v>
      </c>
      <c r="O289" s="48"/>
      <c r="P289" s="48"/>
    </row>
    <row r="290" spans="1:16" ht="15.6" x14ac:dyDescent="0.3">
      <c r="A290" s="54">
        <v>46263</v>
      </c>
      <c r="B290" s="110">
        <v>24140</v>
      </c>
      <c r="C290" s="46" t="s">
        <v>363</v>
      </c>
      <c r="D290" s="46" t="s">
        <v>119</v>
      </c>
      <c r="E290" s="111">
        <v>26.1</v>
      </c>
      <c r="F290" s="55" t="s">
        <v>485</v>
      </c>
      <c r="G290" s="77">
        <v>27</v>
      </c>
      <c r="H290" s="45"/>
      <c r="I290" s="45">
        <v>101</v>
      </c>
      <c r="J290" s="50">
        <f t="shared" si="4"/>
        <v>74</v>
      </c>
      <c r="K290" s="45"/>
      <c r="L290" s="45">
        <v>180</v>
      </c>
      <c r="M290" s="48"/>
      <c r="N290" s="49">
        <v>1</v>
      </c>
      <c r="O290" s="48"/>
      <c r="P290" s="48"/>
    </row>
    <row r="291" spans="1:16" ht="15.6" x14ac:dyDescent="0.3">
      <c r="A291" s="54">
        <v>46263</v>
      </c>
      <c r="B291" s="146">
        <v>28433</v>
      </c>
      <c r="C291" s="45" t="s">
        <v>353</v>
      </c>
      <c r="D291" s="45" t="s">
        <v>354</v>
      </c>
      <c r="E291" s="110">
        <v>24.2</v>
      </c>
      <c r="F291" s="60" t="s">
        <v>485</v>
      </c>
      <c r="G291" s="80">
        <v>25</v>
      </c>
      <c r="H291" s="45"/>
      <c r="I291" s="45">
        <v>99</v>
      </c>
      <c r="J291" s="50">
        <f t="shared" si="4"/>
        <v>74</v>
      </c>
      <c r="K291" s="45"/>
      <c r="L291" s="45">
        <v>180</v>
      </c>
      <c r="M291" s="48"/>
      <c r="N291" s="49">
        <v>1</v>
      </c>
      <c r="O291" s="48"/>
      <c r="P291" s="48"/>
    </row>
    <row r="292" spans="1:16" ht="15.6" x14ac:dyDescent="0.3">
      <c r="A292" s="54">
        <v>46263</v>
      </c>
      <c r="B292" s="110">
        <v>12724</v>
      </c>
      <c r="C292" s="46" t="s">
        <v>460</v>
      </c>
      <c r="D292" s="46" t="s">
        <v>246</v>
      </c>
      <c r="E292" s="110">
        <v>10.8</v>
      </c>
      <c r="F292" s="55" t="s">
        <v>484</v>
      </c>
      <c r="G292" s="77">
        <v>11</v>
      </c>
      <c r="H292" s="45"/>
      <c r="I292" s="45">
        <v>92</v>
      </c>
      <c r="J292" s="50">
        <f t="shared" si="4"/>
        <v>81</v>
      </c>
      <c r="K292" s="45"/>
      <c r="L292" s="45">
        <v>140</v>
      </c>
      <c r="M292" s="48"/>
      <c r="N292" s="49">
        <v>1</v>
      </c>
      <c r="O292" s="48"/>
      <c r="P292" s="48"/>
    </row>
    <row r="293" spans="1:16" ht="15.6" x14ac:dyDescent="0.3">
      <c r="A293" s="54">
        <v>46263</v>
      </c>
      <c r="B293" s="55">
        <v>3936</v>
      </c>
      <c r="C293" s="46" t="s">
        <v>462</v>
      </c>
      <c r="D293" s="162" t="s">
        <v>570</v>
      </c>
      <c r="E293" s="146">
        <v>17.899999999999999</v>
      </c>
      <c r="F293" s="60" t="s">
        <v>484</v>
      </c>
      <c r="G293" s="95">
        <v>18</v>
      </c>
      <c r="H293" s="45"/>
      <c r="I293" s="45">
        <v>90</v>
      </c>
      <c r="J293" s="50">
        <f t="shared" si="4"/>
        <v>72</v>
      </c>
      <c r="K293" s="45"/>
      <c r="L293" s="45">
        <v>190</v>
      </c>
      <c r="M293" s="48">
        <v>110000</v>
      </c>
      <c r="N293" s="49">
        <v>1</v>
      </c>
      <c r="O293" s="48"/>
      <c r="P293" s="48"/>
    </row>
    <row r="294" spans="1:16" ht="15.6" x14ac:dyDescent="0.3">
      <c r="A294" s="54">
        <v>46263</v>
      </c>
      <c r="B294" s="45">
        <v>20941</v>
      </c>
      <c r="C294" s="45" t="s">
        <v>319</v>
      </c>
      <c r="D294" s="45" t="s">
        <v>320</v>
      </c>
      <c r="E294" s="60">
        <v>23.6</v>
      </c>
      <c r="F294" s="60" t="s">
        <v>378</v>
      </c>
      <c r="G294" s="45">
        <v>24</v>
      </c>
      <c r="H294" s="45"/>
      <c r="I294" s="45">
        <v>101</v>
      </c>
      <c r="J294" s="50">
        <f t="shared" si="4"/>
        <v>77</v>
      </c>
      <c r="K294" s="45"/>
      <c r="L294" s="45">
        <v>160</v>
      </c>
      <c r="M294" s="48"/>
      <c r="N294" s="49">
        <v>1</v>
      </c>
      <c r="O294" s="48"/>
      <c r="P294" s="48"/>
    </row>
    <row r="295" spans="1:16" ht="15.6" x14ac:dyDescent="0.3">
      <c r="A295" s="54">
        <v>46263</v>
      </c>
      <c r="B295" s="147">
        <v>22156</v>
      </c>
      <c r="C295" s="51" t="s">
        <v>231</v>
      </c>
      <c r="D295" s="51" t="s">
        <v>232</v>
      </c>
      <c r="E295" s="148">
        <v>21.2</v>
      </c>
      <c r="F295" s="55" t="s">
        <v>485</v>
      </c>
      <c r="G295" s="77">
        <v>21</v>
      </c>
      <c r="H295" s="45"/>
      <c r="I295" s="45">
        <v>117</v>
      </c>
      <c r="J295" s="50">
        <f t="shared" si="4"/>
        <v>96</v>
      </c>
      <c r="K295" s="45"/>
      <c r="L295" s="45">
        <v>110</v>
      </c>
      <c r="M295" s="48"/>
      <c r="N295" s="49">
        <v>1</v>
      </c>
      <c r="O295" s="48"/>
      <c r="P295" s="48"/>
    </row>
    <row r="296" spans="1:16" ht="15.6" x14ac:dyDescent="0.3">
      <c r="A296" s="54">
        <v>46263</v>
      </c>
      <c r="B296" s="45">
        <v>27233</v>
      </c>
      <c r="C296" s="45" t="s">
        <v>193</v>
      </c>
      <c r="D296" s="45" t="s">
        <v>194</v>
      </c>
      <c r="E296" s="110">
        <v>27.2</v>
      </c>
      <c r="F296" s="55" t="s">
        <v>485</v>
      </c>
      <c r="G296" s="77">
        <v>28</v>
      </c>
      <c r="H296" s="45"/>
      <c r="I296" s="45">
        <v>111</v>
      </c>
      <c r="J296" s="50">
        <f t="shared" si="4"/>
        <v>83</v>
      </c>
      <c r="K296" s="45"/>
      <c r="L296" s="45">
        <v>130</v>
      </c>
      <c r="M296" s="48"/>
      <c r="N296" s="49">
        <v>1</v>
      </c>
      <c r="O296" s="48"/>
      <c r="P296" s="48"/>
    </row>
    <row r="297" spans="1:16" ht="15.6" x14ac:dyDescent="0.3">
      <c r="A297" s="54">
        <v>46263</v>
      </c>
      <c r="B297" s="110">
        <v>24283</v>
      </c>
      <c r="C297" s="46" t="s">
        <v>287</v>
      </c>
      <c r="D297" s="46" t="s">
        <v>288</v>
      </c>
      <c r="E297" s="110">
        <v>25.8</v>
      </c>
      <c r="F297" s="55" t="s">
        <v>485</v>
      </c>
      <c r="G297" s="77">
        <v>26</v>
      </c>
      <c r="H297" s="45"/>
      <c r="I297" s="45">
        <v>111</v>
      </c>
      <c r="J297" s="50">
        <f t="shared" si="4"/>
        <v>85</v>
      </c>
      <c r="K297" s="45"/>
      <c r="L297" s="45">
        <v>120</v>
      </c>
      <c r="M297" s="48"/>
      <c r="N297" s="49">
        <v>1</v>
      </c>
      <c r="O297" s="48"/>
      <c r="P297" s="48"/>
    </row>
    <row r="298" spans="1:16" ht="15.6" x14ac:dyDescent="0.3">
      <c r="A298" s="54">
        <v>46270</v>
      </c>
      <c r="B298" s="110">
        <v>21865</v>
      </c>
      <c r="C298" s="46" t="s">
        <v>107</v>
      </c>
      <c r="D298" s="46" t="s">
        <v>108</v>
      </c>
      <c r="E298" s="110">
        <v>16.399999999999999</v>
      </c>
      <c r="F298" s="55" t="s">
        <v>485</v>
      </c>
      <c r="G298" s="77">
        <v>16</v>
      </c>
      <c r="H298" s="45"/>
      <c r="I298" s="45">
        <v>86</v>
      </c>
      <c r="J298" s="50">
        <f t="shared" si="4"/>
        <v>70</v>
      </c>
      <c r="K298" s="45">
        <v>1</v>
      </c>
      <c r="L298" s="45">
        <v>190</v>
      </c>
      <c r="M298" s="48">
        <v>100000</v>
      </c>
      <c r="N298" s="49">
        <v>1</v>
      </c>
      <c r="O298" s="48"/>
      <c r="P298" s="48"/>
    </row>
    <row r="299" spans="1:16" ht="15.6" x14ac:dyDescent="0.3">
      <c r="A299" s="54">
        <v>46270</v>
      </c>
      <c r="B299" s="110">
        <v>24140</v>
      </c>
      <c r="C299" s="46" t="s">
        <v>363</v>
      </c>
      <c r="D299" s="46" t="s">
        <v>119</v>
      </c>
      <c r="E299" s="111">
        <v>26.1</v>
      </c>
      <c r="F299" s="55" t="s">
        <v>485</v>
      </c>
      <c r="G299" s="77">
        <v>27</v>
      </c>
      <c r="H299" s="45"/>
      <c r="I299" s="45">
        <v>98</v>
      </c>
      <c r="J299" s="50">
        <f t="shared" si="4"/>
        <v>71</v>
      </c>
      <c r="K299" s="45"/>
      <c r="L299" s="45">
        <v>180</v>
      </c>
      <c r="M299" s="48">
        <v>30000</v>
      </c>
      <c r="N299" s="49">
        <v>1</v>
      </c>
      <c r="O299" s="48"/>
      <c r="P299" s="48"/>
    </row>
    <row r="300" spans="1:16" ht="15.6" x14ac:dyDescent="0.3">
      <c r="A300" s="54">
        <v>46270</v>
      </c>
      <c r="B300" s="146">
        <v>28433</v>
      </c>
      <c r="C300" s="45" t="s">
        <v>353</v>
      </c>
      <c r="D300" s="45" t="s">
        <v>354</v>
      </c>
      <c r="E300" s="110">
        <v>24.2</v>
      </c>
      <c r="F300" s="60" t="s">
        <v>485</v>
      </c>
      <c r="G300" s="80">
        <v>25</v>
      </c>
      <c r="H300" s="45"/>
      <c r="I300" s="45">
        <v>93</v>
      </c>
      <c r="J300" s="50">
        <f t="shared" si="4"/>
        <v>68</v>
      </c>
      <c r="K300" s="45"/>
      <c r="L300" s="45">
        <v>200</v>
      </c>
      <c r="M300" s="48">
        <v>130000</v>
      </c>
      <c r="N300" s="49">
        <v>1</v>
      </c>
      <c r="O300" s="48"/>
      <c r="P300" s="48"/>
    </row>
    <row r="301" spans="1:16" ht="15.6" x14ac:dyDescent="0.3">
      <c r="A301" s="54">
        <v>46270</v>
      </c>
      <c r="B301" s="110">
        <v>30572</v>
      </c>
      <c r="C301" s="46" t="s">
        <v>225</v>
      </c>
      <c r="D301" s="46" t="s">
        <v>226</v>
      </c>
      <c r="E301" s="110">
        <v>19.8</v>
      </c>
      <c r="F301" s="55" t="s">
        <v>485</v>
      </c>
      <c r="G301" s="77">
        <v>20</v>
      </c>
      <c r="H301" s="45"/>
      <c r="I301" s="45">
        <v>95</v>
      </c>
      <c r="J301" s="50">
        <f t="shared" si="4"/>
        <v>75</v>
      </c>
      <c r="K301" s="45"/>
      <c r="L301" s="45">
        <v>170</v>
      </c>
      <c r="M301" s="48"/>
      <c r="N301" s="49">
        <v>1</v>
      </c>
      <c r="O301" s="48"/>
      <c r="P301" s="48"/>
    </row>
    <row r="302" spans="1:16" ht="15.6" x14ac:dyDescent="0.3">
      <c r="A302" s="54">
        <v>46270</v>
      </c>
      <c r="B302" s="55">
        <v>16260</v>
      </c>
      <c r="C302" s="46" t="s">
        <v>270</v>
      </c>
      <c r="D302" s="46" t="s">
        <v>271</v>
      </c>
      <c r="E302" s="110">
        <v>17.100000000000001</v>
      </c>
      <c r="F302" s="55" t="s">
        <v>484</v>
      </c>
      <c r="G302" s="77">
        <v>16</v>
      </c>
      <c r="H302" s="45"/>
      <c r="I302" s="45">
        <v>94</v>
      </c>
      <c r="J302" s="50">
        <f t="shared" si="4"/>
        <v>78</v>
      </c>
      <c r="K302" s="45"/>
      <c r="L302" s="45">
        <v>160</v>
      </c>
      <c r="M302" s="48"/>
      <c r="N302" s="49">
        <v>1</v>
      </c>
      <c r="O302" s="48"/>
      <c r="P302" s="48"/>
    </row>
    <row r="303" spans="1:16" ht="15.6" x14ac:dyDescent="0.3">
      <c r="A303" s="54">
        <v>46270</v>
      </c>
      <c r="B303" s="110">
        <v>12724</v>
      </c>
      <c r="C303" s="46" t="s">
        <v>460</v>
      </c>
      <c r="D303" s="46" t="s">
        <v>246</v>
      </c>
      <c r="E303" s="110">
        <v>10.8</v>
      </c>
      <c r="F303" s="55" t="s">
        <v>484</v>
      </c>
      <c r="G303" s="77">
        <v>11</v>
      </c>
      <c r="H303" s="45"/>
      <c r="I303" s="45">
        <v>89</v>
      </c>
      <c r="J303" s="50">
        <f t="shared" si="4"/>
        <v>78</v>
      </c>
      <c r="K303" s="45"/>
      <c r="L303" s="45">
        <v>160</v>
      </c>
      <c r="M303" s="48"/>
      <c r="N303" s="49">
        <v>1</v>
      </c>
      <c r="O303" s="48"/>
      <c r="P303" s="48"/>
    </row>
    <row r="304" spans="1:16" ht="15.6" x14ac:dyDescent="0.3">
      <c r="A304" s="54">
        <v>46270</v>
      </c>
      <c r="B304" s="110">
        <v>30087</v>
      </c>
      <c r="C304" s="46" t="s">
        <v>149</v>
      </c>
      <c r="D304" s="46" t="s">
        <v>150</v>
      </c>
      <c r="E304" s="110">
        <v>11.4</v>
      </c>
      <c r="F304" s="112" t="s">
        <v>484</v>
      </c>
      <c r="G304" s="121">
        <v>11</v>
      </c>
      <c r="H304" s="45"/>
      <c r="I304" s="45">
        <v>82</v>
      </c>
      <c r="J304" s="50">
        <f t="shared" si="4"/>
        <v>71</v>
      </c>
      <c r="K304" s="45"/>
      <c r="L304" s="45">
        <v>180</v>
      </c>
      <c r="M304" s="48">
        <v>30000</v>
      </c>
      <c r="N304" s="49">
        <v>1</v>
      </c>
      <c r="O304" s="48"/>
      <c r="P304" s="48"/>
    </row>
    <row r="305" spans="1:16" ht="15.6" x14ac:dyDescent="0.3">
      <c r="A305" s="54">
        <v>46270</v>
      </c>
      <c r="B305" s="110">
        <v>15107</v>
      </c>
      <c r="C305" s="46" t="s">
        <v>153</v>
      </c>
      <c r="D305" s="46" t="s">
        <v>154</v>
      </c>
      <c r="E305" s="110">
        <v>16.8</v>
      </c>
      <c r="F305" s="55" t="s">
        <v>484</v>
      </c>
      <c r="G305" s="149">
        <v>16</v>
      </c>
      <c r="H305" s="45"/>
      <c r="I305" s="45">
        <v>96</v>
      </c>
      <c r="J305" s="50">
        <f t="shared" si="4"/>
        <v>80</v>
      </c>
      <c r="K305" s="45">
        <v>1</v>
      </c>
      <c r="L305" s="45">
        <v>150</v>
      </c>
      <c r="M305" s="48"/>
      <c r="N305" s="49">
        <v>1</v>
      </c>
      <c r="O305" s="48"/>
      <c r="P305" s="48">
        <v>70000</v>
      </c>
    </row>
    <row r="306" spans="1:16" ht="15.6" x14ac:dyDescent="0.3">
      <c r="A306" s="54">
        <v>46284</v>
      </c>
      <c r="B306" s="110">
        <v>15107</v>
      </c>
      <c r="C306" s="46" t="s">
        <v>153</v>
      </c>
      <c r="D306" s="46" t="s">
        <v>154</v>
      </c>
      <c r="E306" s="110">
        <v>16.8</v>
      </c>
      <c r="F306" s="55"/>
      <c r="G306" s="149"/>
      <c r="H306" s="45"/>
      <c r="I306" s="45"/>
      <c r="J306" s="50"/>
      <c r="K306" s="45"/>
      <c r="L306" s="45"/>
      <c r="M306" s="48"/>
      <c r="N306" s="49"/>
      <c r="O306" s="48"/>
      <c r="P306" s="48">
        <v>110000</v>
      </c>
    </row>
    <row r="307" spans="1:16" ht="15.6" x14ac:dyDescent="0.3">
      <c r="A307" s="54">
        <v>46297</v>
      </c>
      <c r="B307" s="215">
        <v>21865</v>
      </c>
      <c r="C307" s="175" t="s">
        <v>107</v>
      </c>
      <c r="D307" s="175" t="s">
        <v>108</v>
      </c>
      <c r="E307" s="110"/>
      <c r="F307" s="55"/>
      <c r="G307" s="77"/>
      <c r="H307" s="45"/>
      <c r="I307" s="45"/>
      <c r="J307" s="50"/>
      <c r="K307" s="45"/>
      <c r="L307" s="45"/>
      <c r="M307" s="48"/>
      <c r="N307" s="49"/>
      <c r="O307" s="48"/>
      <c r="P307" s="48"/>
    </row>
    <row r="308" spans="1:16" ht="15.6" x14ac:dyDescent="0.3">
      <c r="A308" s="54">
        <v>46297</v>
      </c>
      <c r="B308" s="216">
        <v>30377</v>
      </c>
      <c r="C308" s="175" t="s">
        <v>72</v>
      </c>
      <c r="D308" s="175" t="s">
        <v>71</v>
      </c>
      <c r="E308" s="110"/>
      <c r="F308" s="55"/>
      <c r="G308" s="77"/>
      <c r="H308" s="45"/>
      <c r="I308" s="45"/>
      <c r="J308" s="50"/>
      <c r="K308" s="45"/>
      <c r="L308" s="45"/>
      <c r="M308" s="48"/>
      <c r="N308" s="49"/>
      <c r="O308" s="48"/>
      <c r="P308" s="48"/>
    </row>
    <row r="309" spans="1:16" ht="15.6" x14ac:dyDescent="0.3">
      <c r="A309" s="54">
        <v>46297</v>
      </c>
      <c r="B309" s="215">
        <v>30572</v>
      </c>
      <c r="C309" s="175" t="s">
        <v>225</v>
      </c>
      <c r="D309" s="175" t="s">
        <v>226</v>
      </c>
      <c r="E309" s="110"/>
      <c r="F309" s="55"/>
      <c r="G309" s="77"/>
      <c r="H309" s="45"/>
      <c r="I309" s="45"/>
      <c r="J309" s="50"/>
      <c r="K309" s="45"/>
      <c r="L309" s="45"/>
      <c r="M309" s="48"/>
      <c r="N309" s="49"/>
      <c r="O309" s="48"/>
      <c r="P309" s="48"/>
    </row>
    <row r="310" spans="1:16" ht="15.6" x14ac:dyDescent="0.3">
      <c r="A310" s="54">
        <v>46297</v>
      </c>
      <c r="B310" s="215">
        <v>15107</v>
      </c>
      <c r="C310" s="175" t="s">
        <v>153</v>
      </c>
      <c r="D310" s="175" t="s">
        <v>154</v>
      </c>
      <c r="E310" s="110"/>
      <c r="F310" s="55"/>
      <c r="G310" s="77"/>
      <c r="H310" s="45"/>
      <c r="I310" s="45"/>
      <c r="J310" s="50"/>
      <c r="K310" s="45"/>
      <c r="L310" s="45"/>
      <c r="M310" s="48"/>
      <c r="N310" s="49"/>
      <c r="O310" s="48"/>
      <c r="P310" s="48"/>
    </row>
    <row r="311" spans="1:16" ht="15.6" x14ac:dyDescent="0.3">
      <c r="A311" s="54">
        <v>46297</v>
      </c>
      <c r="B311" s="217">
        <v>32142</v>
      </c>
      <c r="C311" s="175" t="s">
        <v>47</v>
      </c>
      <c r="D311" s="175" t="s">
        <v>48</v>
      </c>
      <c r="E311" s="110"/>
      <c r="F311" s="55"/>
      <c r="G311" s="77"/>
      <c r="H311" s="45"/>
      <c r="I311" s="45"/>
      <c r="J311" s="50"/>
      <c r="K311" s="45"/>
      <c r="L311" s="45"/>
      <c r="M311" s="48"/>
      <c r="N311" s="49"/>
      <c r="O311" s="48"/>
      <c r="P311" s="48"/>
    </row>
    <row r="312" spans="1:16" ht="15.6" x14ac:dyDescent="0.3">
      <c r="A312" s="54">
        <v>46297</v>
      </c>
      <c r="B312" s="215">
        <v>33116</v>
      </c>
      <c r="C312" s="175" t="s">
        <v>195</v>
      </c>
      <c r="D312" s="175" t="s">
        <v>196</v>
      </c>
      <c r="E312" s="110"/>
      <c r="F312" s="55"/>
      <c r="G312" s="77"/>
      <c r="H312" s="45"/>
      <c r="I312" s="45"/>
      <c r="J312" s="50"/>
      <c r="K312" s="45"/>
      <c r="L312" s="45"/>
      <c r="M312" s="48"/>
      <c r="N312" s="49"/>
      <c r="O312" s="48"/>
      <c r="P312" s="48"/>
    </row>
    <row r="313" spans="1:16" ht="15.6" x14ac:dyDescent="0.3">
      <c r="A313" s="54">
        <v>46297</v>
      </c>
      <c r="B313" s="215">
        <v>27280</v>
      </c>
      <c r="C313" s="175" t="s">
        <v>263</v>
      </c>
      <c r="D313" s="175" t="s">
        <v>264</v>
      </c>
      <c r="E313" s="110"/>
      <c r="F313" s="55"/>
      <c r="G313" s="77"/>
      <c r="H313" s="45"/>
      <c r="I313" s="45"/>
      <c r="J313" s="50"/>
      <c r="K313" s="45"/>
      <c r="L313" s="45"/>
      <c r="M313" s="48"/>
      <c r="N313" s="49"/>
      <c r="O313" s="48"/>
      <c r="P313" s="48"/>
    </row>
    <row r="314" spans="1:16" x14ac:dyDescent="0.3">
      <c r="A314" s="54">
        <v>46297</v>
      </c>
      <c r="B314" s="217">
        <v>28433</v>
      </c>
      <c r="C314" s="176" t="s">
        <v>353</v>
      </c>
      <c r="D314" s="176" t="s">
        <v>354</v>
      </c>
      <c r="E314" s="45"/>
      <c r="F314" s="45"/>
      <c r="G314" s="45"/>
      <c r="H314" s="45"/>
      <c r="I314" s="45"/>
      <c r="J314" s="45"/>
      <c r="K314" s="45"/>
      <c r="L314" s="45"/>
      <c r="M314" s="48"/>
      <c r="N314" s="48"/>
      <c r="O314" s="48"/>
      <c r="P314" s="48"/>
    </row>
    <row r="315" spans="1:16" x14ac:dyDescent="0.3">
      <c r="A315" s="54">
        <v>46297</v>
      </c>
      <c r="B315" s="215">
        <v>12724</v>
      </c>
      <c r="C315" s="175" t="s">
        <v>460</v>
      </c>
      <c r="D315" s="175" t="s">
        <v>246</v>
      </c>
      <c r="E315" s="45"/>
      <c r="F315" s="45"/>
      <c r="G315" s="45"/>
      <c r="H315" s="45"/>
      <c r="I315" s="45"/>
      <c r="J315" s="45"/>
      <c r="K315" s="45"/>
      <c r="L315" s="45"/>
      <c r="M315" s="48"/>
      <c r="N315" s="48"/>
      <c r="O315" s="48"/>
      <c r="P315" s="48"/>
    </row>
    <row r="316" spans="1:16" x14ac:dyDescent="0.3">
      <c r="A316" s="54">
        <v>46297</v>
      </c>
      <c r="B316" s="215">
        <v>13625</v>
      </c>
      <c r="C316" s="175" t="s">
        <v>222</v>
      </c>
      <c r="D316" s="175" t="s">
        <v>223</v>
      </c>
      <c r="E316" s="45"/>
      <c r="F316" s="45"/>
      <c r="G316" s="45"/>
      <c r="H316" s="45"/>
      <c r="I316" s="45"/>
      <c r="J316" s="45"/>
      <c r="K316" s="45"/>
      <c r="L316" s="45"/>
      <c r="M316" s="48"/>
      <c r="N316" s="48"/>
      <c r="O316" s="48"/>
      <c r="P316" s="48"/>
    </row>
    <row r="317" spans="1:16" x14ac:dyDescent="0.3">
      <c r="A317" s="54">
        <v>46297</v>
      </c>
      <c r="B317" s="215">
        <v>28225</v>
      </c>
      <c r="C317" s="175" t="s">
        <v>222</v>
      </c>
      <c r="D317" s="175" t="s">
        <v>233</v>
      </c>
      <c r="E317" s="45"/>
      <c r="F317" s="45"/>
      <c r="G317" s="45"/>
      <c r="H317" s="45"/>
      <c r="I317" s="45"/>
      <c r="J317" s="45"/>
      <c r="K317" s="45"/>
      <c r="L317" s="45"/>
      <c r="M317" s="48"/>
      <c r="N317" s="48"/>
      <c r="O317" s="48"/>
      <c r="P317" s="48"/>
    </row>
    <row r="318" spans="1:16" x14ac:dyDescent="0.3">
      <c r="A318" s="54">
        <v>46297</v>
      </c>
      <c r="B318" s="217">
        <v>9446</v>
      </c>
      <c r="C318" s="176" t="s">
        <v>285</v>
      </c>
      <c r="D318" s="176" t="s">
        <v>286</v>
      </c>
      <c r="E318" s="45"/>
      <c r="F318" s="45"/>
      <c r="G318" s="45"/>
      <c r="H318" s="45"/>
      <c r="I318" s="45"/>
      <c r="J318" s="45"/>
      <c r="K318" s="45"/>
      <c r="L318" s="45"/>
      <c r="M318" s="48"/>
      <c r="N318" s="48"/>
      <c r="O318" s="48"/>
      <c r="P318" s="48"/>
    </row>
    <row r="319" spans="1:16" x14ac:dyDescent="0.3">
      <c r="A319" s="54">
        <v>46297</v>
      </c>
      <c r="B319" s="217">
        <v>30101</v>
      </c>
      <c r="C319" s="176" t="s">
        <v>341</v>
      </c>
      <c r="D319" s="176" t="s">
        <v>342</v>
      </c>
      <c r="E319" s="45"/>
      <c r="F319" s="45"/>
      <c r="G319" s="45"/>
      <c r="H319" s="45"/>
      <c r="I319" s="45"/>
      <c r="J319" s="45"/>
      <c r="K319" s="45"/>
      <c r="L319" s="45"/>
      <c r="M319" s="48"/>
      <c r="N319" s="48"/>
      <c r="O319" s="48"/>
      <c r="P319" s="48"/>
    </row>
    <row r="320" spans="1:16" x14ac:dyDescent="0.3">
      <c r="A320" s="54">
        <v>46297</v>
      </c>
      <c r="B320" s="215">
        <v>14824</v>
      </c>
      <c r="C320" s="175" t="s">
        <v>364</v>
      </c>
      <c r="D320" s="175" t="s">
        <v>365</v>
      </c>
      <c r="E320" s="45"/>
      <c r="F320" s="45"/>
      <c r="G320" s="45"/>
      <c r="H320" s="45"/>
      <c r="I320" s="45"/>
      <c r="J320" s="45"/>
      <c r="K320" s="45"/>
      <c r="L320" s="45"/>
      <c r="M320" s="48"/>
      <c r="N320" s="48"/>
      <c r="O320" s="48"/>
      <c r="P320" s="48"/>
    </row>
    <row r="321" spans="1:16" x14ac:dyDescent="0.3">
      <c r="A321" s="54">
        <v>46297</v>
      </c>
      <c r="B321" s="217">
        <v>16501</v>
      </c>
      <c r="C321" s="175" t="s">
        <v>249</v>
      </c>
      <c r="D321" s="175" t="s">
        <v>250</v>
      </c>
      <c r="E321" s="45"/>
      <c r="F321" s="45"/>
      <c r="G321" s="45"/>
      <c r="H321" s="45"/>
      <c r="I321" s="45"/>
      <c r="J321" s="45"/>
      <c r="K321" s="45"/>
      <c r="L321" s="45"/>
      <c r="M321" s="48"/>
      <c r="N321" s="48"/>
      <c r="O321" s="48"/>
      <c r="P321" s="48"/>
    </row>
    <row r="322" spans="1:16" x14ac:dyDescent="0.3">
      <c r="A322" s="54">
        <v>46297</v>
      </c>
      <c r="B322" s="215">
        <v>18861</v>
      </c>
      <c r="C322" s="175" t="s">
        <v>351</v>
      </c>
      <c r="D322" s="175" t="s">
        <v>352</v>
      </c>
      <c r="E322" s="45"/>
      <c r="F322" s="45"/>
      <c r="G322" s="45"/>
      <c r="H322" s="45"/>
      <c r="I322" s="45"/>
      <c r="J322" s="45"/>
      <c r="K322" s="45"/>
      <c r="L322" s="45"/>
      <c r="M322" s="48"/>
      <c r="N322" s="48"/>
      <c r="O322" s="48"/>
      <c r="P322" s="48"/>
    </row>
    <row r="323" spans="1:16" x14ac:dyDescent="0.3">
      <c r="A323" s="54">
        <v>46297</v>
      </c>
      <c r="B323" s="215">
        <v>14715</v>
      </c>
      <c r="C323" s="175" t="s">
        <v>339</v>
      </c>
      <c r="D323" s="175" t="s">
        <v>340</v>
      </c>
      <c r="E323" s="45"/>
      <c r="F323" s="45"/>
      <c r="G323" s="45"/>
      <c r="H323" s="45"/>
      <c r="I323" s="45"/>
      <c r="J323" s="45"/>
      <c r="K323" s="45"/>
      <c r="L323" s="45"/>
      <c r="M323" s="48"/>
      <c r="N323" s="48"/>
      <c r="O323" s="48"/>
      <c r="P323" s="48"/>
    </row>
    <row r="324" spans="1:16" x14ac:dyDescent="0.3">
      <c r="A324" s="54">
        <v>46297</v>
      </c>
      <c r="B324" s="216">
        <v>38600</v>
      </c>
      <c r="C324" s="176" t="s">
        <v>571</v>
      </c>
      <c r="D324" s="176" t="s">
        <v>161</v>
      </c>
      <c r="E324" s="45"/>
      <c r="F324" s="45"/>
      <c r="G324" s="45"/>
      <c r="H324" s="45"/>
      <c r="I324" s="45"/>
      <c r="J324" s="45"/>
      <c r="K324" s="45"/>
      <c r="L324" s="45"/>
      <c r="M324" s="48"/>
      <c r="N324" s="48"/>
      <c r="O324" s="48"/>
      <c r="P324" s="48"/>
    </row>
    <row r="325" spans="1:16" x14ac:dyDescent="0.3">
      <c r="A325" s="54">
        <v>46297</v>
      </c>
      <c r="B325" s="215">
        <v>25160</v>
      </c>
      <c r="C325" s="179" t="s">
        <v>41</v>
      </c>
      <c r="D325" s="175" t="s">
        <v>42</v>
      </c>
      <c r="E325" s="45"/>
      <c r="F325" s="45"/>
      <c r="G325" s="45"/>
      <c r="H325" s="45"/>
      <c r="I325" s="45"/>
      <c r="J325" s="45"/>
      <c r="K325" s="45"/>
      <c r="L325" s="45"/>
      <c r="M325" s="48"/>
      <c r="N325" s="48"/>
      <c r="O325" s="48"/>
      <c r="P325" s="48"/>
    </row>
    <row r="326" spans="1:16" x14ac:dyDescent="0.3">
      <c r="A326" s="54">
        <v>46297</v>
      </c>
      <c r="B326" s="215">
        <v>30376</v>
      </c>
      <c r="C326" s="179" t="s">
        <v>52</v>
      </c>
      <c r="D326" s="184" t="s">
        <v>53</v>
      </c>
      <c r="E326" s="45"/>
      <c r="F326" s="45"/>
      <c r="G326" s="45"/>
      <c r="H326" s="45"/>
      <c r="I326" s="45"/>
      <c r="J326" s="45"/>
      <c r="K326" s="45"/>
      <c r="L326" s="45"/>
      <c r="M326" s="48"/>
      <c r="N326" s="48"/>
      <c r="O326" s="48"/>
      <c r="P326" s="48"/>
    </row>
    <row r="327" spans="1:16" x14ac:dyDescent="0.3">
      <c r="A327" s="54">
        <v>46297</v>
      </c>
      <c r="B327" s="218">
        <v>34332</v>
      </c>
      <c r="C327" s="212" t="s">
        <v>157</v>
      </c>
      <c r="D327" s="191" t="s">
        <v>158</v>
      </c>
      <c r="E327" s="45"/>
      <c r="F327" s="45"/>
      <c r="G327" s="45"/>
      <c r="H327" s="45"/>
      <c r="I327" s="45"/>
      <c r="J327" s="45"/>
      <c r="K327" s="45"/>
      <c r="L327" s="45"/>
      <c r="M327" s="48"/>
      <c r="N327" s="48"/>
      <c r="O327" s="48"/>
      <c r="P327" s="48"/>
    </row>
    <row r="328" spans="1:16" x14ac:dyDescent="0.3">
      <c r="A328" s="54">
        <v>46297</v>
      </c>
      <c r="B328" s="215">
        <v>37787</v>
      </c>
      <c r="C328" s="176" t="s">
        <v>574</v>
      </c>
      <c r="D328" s="175" t="s">
        <v>575</v>
      </c>
      <c r="E328" s="45"/>
      <c r="F328" s="45"/>
      <c r="G328" s="45"/>
      <c r="H328" s="45"/>
      <c r="I328" s="45"/>
      <c r="J328" s="45"/>
      <c r="K328" s="45"/>
      <c r="L328" s="45"/>
      <c r="M328" s="48"/>
      <c r="N328" s="48"/>
      <c r="O328" s="48"/>
      <c r="P328" s="48"/>
    </row>
    <row r="329" spans="1:16" x14ac:dyDescent="0.3">
      <c r="A329" s="54">
        <v>46297</v>
      </c>
      <c r="B329" s="215">
        <v>14084</v>
      </c>
      <c r="C329" s="175" t="s">
        <v>39</v>
      </c>
      <c r="D329" s="175" t="s">
        <v>40</v>
      </c>
      <c r="E329" s="45"/>
      <c r="F329" s="45"/>
      <c r="G329" s="45"/>
      <c r="H329" s="45"/>
      <c r="I329" s="45"/>
      <c r="J329" s="45"/>
      <c r="K329" s="45"/>
      <c r="L329" s="45"/>
      <c r="M329" s="48"/>
      <c r="N329" s="48"/>
      <c r="O329" s="48"/>
      <c r="P329" s="48"/>
    </row>
    <row r="330" spans="1:16" x14ac:dyDescent="0.3">
      <c r="A330" s="54">
        <v>46297</v>
      </c>
      <c r="B330" s="215">
        <v>4080</v>
      </c>
      <c r="C330" s="175" t="s">
        <v>191</v>
      </c>
      <c r="D330" s="175" t="s">
        <v>106</v>
      </c>
      <c r="E330" s="45"/>
      <c r="F330" s="45"/>
      <c r="G330" s="45"/>
      <c r="H330" s="45"/>
      <c r="I330" s="45"/>
      <c r="J330" s="45"/>
      <c r="K330" s="45"/>
      <c r="L330" s="45"/>
      <c r="M330" s="48"/>
      <c r="N330" s="48"/>
      <c r="O330" s="48"/>
      <c r="P330" s="48"/>
    </row>
    <row r="331" spans="1:16" x14ac:dyDescent="0.3">
      <c r="A331" s="54">
        <v>46297</v>
      </c>
      <c r="B331" s="215">
        <v>31818</v>
      </c>
      <c r="C331" s="175" t="s">
        <v>235</v>
      </c>
      <c r="D331" s="175" t="s">
        <v>236</v>
      </c>
      <c r="E331" s="45"/>
      <c r="F331" s="45"/>
      <c r="G331" s="45"/>
      <c r="H331" s="45"/>
      <c r="I331" s="45"/>
      <c r="J331" s="45"/>
      <c r="K331" s="45"/>
      <c r="L331" s="45"/>
      <c r="M331" s="48"/>
      <c r="N331" s="48"/>
      <c r="O331" s="48"/>
      <c r="P331" s="48"/>
    </row>
    <row r="332" spans="1:16" x14ac:dyDescent="0.3">
      <c r="A332" s="54">
        <v>46297</v>
      </c>
      <c r="B332" s="215">
        <v>27435</v>
      </c>
      <c r="C332" s="175" t="s">
        <v>151</v>
      </c>
      <c r="D332" s="175" t="s">
        <v>152</v>
      </c>
      <c r="E332" s="45"/>
      <c r="F332" s="45"/>
      <c r="G332" s="45"/>
      <c r="H332" s="45"/>
      <c r="I332" s="45"/>
      <c r="J332" s="45"/>
      <c r="K332" s="45"/>
      <c r="L332" s="45"/>
      <c r="M332" s="48"/>
      <c r="N332" s="48"/>
      <c r="O332" s="48"/>
      <c r="P332" s="48"/>
    </row>
    <row r="333" spans="1:16" x14ac:dyDescent="0.3">
      <c r="A333" s="54">
        <v>46297</v>
      </c>
      <c r="B333" s="215">
        <v>32182</v>
      </c>
      <c r="C333" s="175" t="s">
        <v>188</v>
      </c>
      <c r="D333" s="175" t="s">
        <v>189</v>
      </c>
      <c r="E333" s="45"/>
      <c r="F333" s="45"/>
      <c r="G333" s="45"/>
      <c r="H333" s="45"/>
      <c r="I333" s="45"/>
      <c r="J333" s="45"/>
      <c r="K333" s="45"/>
      <c r="L333" s="45"/>
      <c r="M333" s="48"/>
      <c r="N333" s="48"/>
      <c r="O333" s="48"/>
      <c r="P333" s="48"/>
    </row>
    <row r="334" spans="1:16" x14ac:dyDescent="0.3">
      <c r="A334" s="54">
        <v>46297</v>
      </c>
      <c r="B334" s="215">
        <v>17043</v>
      </c>
      <c r="C334" s="175" t="s">
        <v>118</v>
      </c>
      <c r="D334" s="175" t="s">
        <v>119</v>
      </c>
      <c r="E334" s="45"/>
      <c r="F334" s="45"/>
      <c r="G334" s="45"/>
      <c r="H334" s="45"/>
      <c r="I334" s="45"/>
      <c r="J334" s="45"/>
      <c r="K334" s="45"/>
      <c r="L334" s="45"/>
      <c r="M334" s="48"/>
      <c r="N334" s="48"/>
      <c r="O334" s="48"/>
      <c r="P334" s="48"/>
    </row>
    <row r="335" spans="1:16" x14ac:dyDescent="0.3">
      <c r="A335" s="54">
        <v>46297</v>
      </c>
      <c r="B335" s="217">
        <v>27233</v>
      </c>
      <c r="C335" s="176" t="s">
        <v>193</v>
      </c>
      <c r="D335" s="176" t="s">
        <v>194</v>
      </c>
      <c r="E335" s="45"/>
      <c r="F335" s="45"/>
      <c r="G335" s="45"/>
      <c r="H335" s="45"/>
      <c r="I335" s="45"/>
      <c r="J335" s="45"/>
      <c r="K335" s="45"/>
      <c r="L335" s="45"/>
      <c r="M335" s="48"/>
      <c r="N335" s="48"/>
      <c r="O335" s="48"/>
      <c r="P335" s="48"/>
    </row>
    <row r="336" spans="1:16" x14ac:dyDescent="0.3">
      <c r="A336" s="54">
        <v>46297</v>
      </c>
      <c r="B336" s="215">
        <v>7891</v>
      </c>
      <c r="C336" s="175" t="s">
        <v>220</v>
      </c>
      <c r="D336" s="175" t="s">
        <v>221</v>
      </c>
      <c r="E336" s="45"/>
      <c r="F336" s="45"/>
      <c r="G336" s="45"/>
      <c r="H336" s="45"/>
      <c r="I336" s="45"/>
      <c r="J336" s="45"/>
      <c r="K336" s="45"/>
      <c r="L336" s="45"/>
      <c r="M336" s="48"/>
      <c r="N336" s="48"/>
      <c r="O336" s="48"/>
      <c r="P336" s="48"/>
    </row>
    <row r="337" spans="1:16" x14ac:dyDescent="0.3">
      <c r="A337" s="54">
        <v>46297</v>
      </c>
      <c r="B337" s="219">
        <v>17558</v>
      </c>
      <c r="C337" s="175" t="s">
        <v>333</v>
      </c>
      <c r="D337" s="175" t="s">
        <v>471</v>
      </c>
      <c r="E337" s="45"/>
      <c r="F337" s="45"/>
      <c r="G337" s="45"/>
      <c r="H337" s="45"/>
      <c r="I337" s="45"/>
      <c r="J337" s="45"/>
      <c r="K337" s="45"/>
      <c r="L337" s="45"/>
      <c r="M337" s="48"/>
      <c r="N337" s="48"/>
      <c r="O337" s="48"/>
      <c r="P337" s="48"/>
    </row>
    <row r="338" spans="1:16" x14ac:dyDescent="0.3">
      <c r="A338" s="54">
        <v>46297</v>
      </c>
      <c r="B338" s="215">
        <v>20408</v>
      </c>
      <c r="C338" s="175" t="s">
        <v>302</v>
      </c>
      <c r="D338" s="175" t="s">
        <v>303</v>
      </c>
      <c r="E338" s="45"/>
      <c r="F338" s="45"/>
      <c r="G338" s="45"/>
      <c r="H338" s="45"/>
      <c r="I338" s="45"/>
      <c r="J338" s="45"/>
      <c r="K338" s="45"/>
      <c r="L338" s="45"/>
      <c r="M338" s="48"/>
      <c r="N338" s="48"/>
      <c r="O338" s="48"/>
      <c r="P338" s="48"/>
    </row>
    <row r="339" spans="1:16" x14ac:dyDescent="0.3">
      <c r="A339" s="54">
        <v>46297</v>
      </c>
      <c r="B339" s="215">
        <v>12531</v>
      </c>
      <c r="C339" s="175" t="s">
        <v>366</v>
      </c>
      <c r="D339" s="175" t="s">
        <v>367</v>
      </c>
      <c r="E339" s="45"/>
      <c r="F339" s="45"/>
      <c r="G339" s="45"/>
      <c r="H339" s="45"/>
      <c r="I339" s="45"/>
      <c r="J339" s="45"/>
      <c r="K339" s="45"/>
      <c r="L339" s="45"/>
      <c r="M339" s="48"/>
      <c r="N339" s="48"/>
      <c r="O339" s="48"/>
      <c r="P339" s="48"/>
    </row>
    <row r="340" spans="1:16" x14ac:dyDescent="0.3">
      <c r="A340" s="54">
        <v>46297</v>
      </c>
      <c r="B340" s="215">
        <v>22617</v>
      </c>
      <c r="C340" s="175" t="s">
        <v>326</v>
      </c>
      <c r="D340" s="175" t="s">
        <v>327</v>
      </c>
      <c r="E340" s="45"/>
      <c r="F340" s="45"/>
      <c r="G340" s="45"/>
      <c r="H340" s="45"/>
      <c r="I340" s="45"/>
      <c r="J340" s="45"/>
      <c r="K340" s="45"/>
      <c r="L340" s="45"/>
      <c r="M340" s="48"/>
      <c r="N340" s="48"/>
      <c r="O340" s="48"/>
      <c r="P340" s="48"/>
    </row>
    <row r="341" spans="1:16" x14ac:dyDescent="0.3">
      <c r="A341" s="54">
        <v>46297</v>
      </c>
      <c r="B341" s="215">
        <v>32313</v>
      </c>
      <c r="C341" s="175" t="s">
        <v>341</v>
      </c>
      <c r="D341" s="175" t="s">
        <v>369</v>
      </c>
      <c r="E341" s="45"/>
      <c r="F341" s="45"/>
      <c r="G341" s="45"/>
      <c r="H341" s="45"/>
      <c r="I341" s="45"/>
      <c r="J341" s="45"/>
      <c r="K341" s="45"/>
      <c r="L341" s="45"/>
      <c r="M341" s="48"/>
      <c r="N341" s="48"/>
      <c r="O341" s="48"/>
      <c r="P341" s="48"/>
    </row>
    <row r="342" spans="1:16" x14ac:dyDescent="0.3">
      <c r="A342" s="54">
        <v>46297</v>
      </c>
      <c r="B342" s="215">
        <v>3616</v>
      </c>
      <c r="C342" s="175" t="s">
        <v>141</v>
      </c>
      <c r="D342" s="175" t="s">
        <v>142</v>
      </c>
      <c r="E342" s="45"/>
      <c r="F342" s="45"/>
      <c r="G342" s="45"/>
      <c r="H342" s="45"/>
      <c r="I342" s="45"/>
      <c r="J342" s="45"/>
      <c r="K342" s="45"/>
      <c r="L342" s="45"/>
      <c r="M342" s="48"/>
      <c r="N342" s="48"/>
      <c r="O342" s="48"/>
      <c r="P342" s="48"/>
    </row>
    <row r="343" spans="1:16" x14ac:dyDescent="0.3">
      <c r="A343" s="54">
        <v>46297</v>
      </c>
      <c r="B343" s="215">
        <v>27116</v>
      </c>
      <c r="C343" s="175" t="s">
        <v>355</v>
      </c>
      <c r="D343" s="175" t="s">
        <v>356</v>
      </c>
      <c r="E343" s="45"/>
      <c r="F343" s="45"/>
      <c r="G343" s="45"/>
      <c r="H343" s="45"/>
      <c r="I343" s="45"/>
      <c r="J343" s="45"/>
      <c r="K343" s="45"/>
      <c r="L343" s="45"/>
      <c r="M343" s="48"/>
      <c r="N343" s="48"/>
      <c r="O343" s="48"/>
      <c r="P343" s="48"/>
    </row>
    <row r="344" spans="1:16" x14ac:dyDescent="0.3">
      <c r="A344" s="54">
        <v>46297</v>
      </c>
      <c r="B344" s="220">
        <v>33424</v>
      </c>
      <c r="C344" s="179" t="s">
        <v>175</v>
      </c>
      <c r="D344" s="175" t="s">
        <v>176</v>
      </c>
      <c r="E344" s="45"/>
      <c r="F344" s="45"/>
      <c r="G344" s="45"/>
      <c r="H344" s="45"/>
      <c r="I344" s="45"/>
      <c r="J344" s="45"/>
      <c r="K344" s="45"/>
      <c r="L344" s="45"/>
      <c r="M344" s="48"/>
      <c r="N344" s="48"/>
      <c r="O344" s="48"/>
      <c r="P344" s="48"/>
    </row>
    <row r="345" spans="1:16" x14ac:dyDescent="0.3">
      <c r="A345" s="54">
        <v>46297</v>
      </c>
      <c r="B345" s="215">
        <v>30087</v>
      </c>
      <c r="C345" s="175" t="s">
        <v>149</v>
      </c>
      <c r="D345" s="175" t="s">
        <v>150</v>
      </c>
      <c r="E345" s="45"/>
      <c r="F345" s="45"/>
      <c r="G345" s="45"/>
      <c r="H345" s="45"/>
      <c r="I345" s="45"/>
      <c r="J345" s="45"/>
      <c r="K345" s="45"/>
      <c r="L345" s="45"/>
      <c r="M345" s="48"/>
      <c r="N345" s="48"/>
      <c r="O345" s="48"/>
      <c r="P345" s="48"/>
    </row>
    <row r="346" spans="1:16" x14ac:dyDescent="0.3">
      <c r="A346" s="54">
        <v>46297</v>
      </c>
      <c r="B346" s="217">
        <v>19187</v>
      </c>
      <c r="C346" s="176" t="s">
        <v>328</v>
      </c>
      <c r="D346" s="176" t="s">
        <v>200</v>
      </c>
      <c r="E346" s="45"/>
      <c r="F346" s="45"/>
      <c r="G346" s="45"/>
      <c r="H346" s="45"/>
      <c r="I346" s="45"/>
      <c r="J346" s="45"/>
      <c r="K346" s="45"/>
      <c r="L346" s="45"/>
      <c r="M346" s="48"/>
      <c r="N346" s="48"/>
      <c r="O346" s="48"/>
      <c r="P346" s="48"/>
    </row>
    <row r="347" spans="1:16" x14ac:dyDescent="0.3">
      <c r="A347" s="54">
        <v>46297</v>
      </c>
      <c r="B347" s="215">
        <v>3936</v>
      </c>
      <c r="C347" s="175" t="s">
        <v>462</v>
      </c>
      <c r="D347" s="175" t="s">
        <v>570</v>
      </c>
      <c r="E347" s="45"/>
      <c r="F347" s="45"/>
      <c r="G347" s="45"/>
      <c r="H347" s="45"/>
      <c r="I347" s="45"/>
      <c r="J347" s="45"/>
      <c r="K347" s="45"/>
      <c r="L347" s="45"/>
      <c r="M347" s="48"/>
      <c r="N347" s="48"/>
      <c r="O347" s="48"/>
      <c r="P347" s="48"/>
    </row>
    <row r="348" spans="1:16" ht="15" thickBot="1" x14ac:dyDescent="0.35">
      <c r="A348" s="54">
        <v>46297</v>
      </c>
      <c r="B348" s="217">
        <v>2365</v>
      </c>
      <c r="C348" s="176" t="s">
        <v>105</v>
      </c>
      <c r="D348" s="176" t="s">
        <v>106</v>
      </c>
      <c r="E348" s="45"/>
      <c r="F348" s="45"/>
      <c r="G348" s="45"/>
      <c r="H348" s="45"/>
      <c r="I348" s="45"/>
      <c r="J348" s="45"/>
      <c r="K348" s="45"/>
      <c r="L348" s="45"/>
      <c r="M348" s="48"/>
      <c r="N348" s="48"/>
      <c r="O348" s="48"/>
      <c r="P348" s="48"/>
    </row>
    <row r="349" spans="1:16" x14ac:dyDescent="0.3">
      <c r="A349" s="54">
        <v>46297</v>
      </c>
      <c r="B349" s="221">
        <v>24768</v>
      </c>
      <c r="C349" s="267" t="s">
        <v>642</v>
      </c>
      <c r="D349" s="267" t="s">
        <v>211</v>
      </c>
      <c r="E349" s="45"/>
      <c r="F349" s="45"/>
      <c r="G349" s="45"/>
      <c r="H349" s="45"/>
      <c r="I349" s="45"/>
      <c r="J349" s="45"/>
      <c r="K349" s="45"/>
      <c r="L349" s="45"/>
      <c r="M349" s="48"/>
      <c r="N349" s="48"/>
      <c r="O349" s="48"/>
      <c r="P349" s="48"/>
    </row>
    <row r="350" spans="1:16" x14ac:dyDescent="0.3">
      <c r="A350" s="54">
        <v>46297</v>
      </c>
      <c r="B350" s="220">
        <v>34428</v>
      </c>
      <c r="C350" s="176" t="s">
        <v>589</v>
      </c>
      <c r="D350" s="175" t="s">
        <v>590</v>
      </c>
      <c r="E350" s="45"/>
      <c r="F350" s="45"/>
      <c r="G350" s="45"/>
      <c r="H350" s="45"/>
      <c r="I350" s="45"/>
      <c r="J350" s="45"/>
      <c r="K350" s="45"/>
      <c r="L350" s="45"/>
      <c r="M350" s="48"/>
      <c r="N350" s="48"/>
      <c r="O350" s="48"/>
      <c r="P350" s="48"/>
    </row>
    <row r="351" spans="1:16" ht="15.6" x14ac:dyDescent="0.3">
      <c r="A351" s="45"/>
      <c r="B351" s="45"/>
      <c r="C351" s="45"/>
      <c r="D351" s="46"/>
      <c r="E351" s="45"/>
      <c r="F351" s="45"/>
      <c r="G351" s="45"/>
      <c r="H351" s="45"/>
      <c r="I351" s="45"/>
      <c r="J351" s="45"/>
      <c r="K351" s="45"/>
      <c r="L351" s="45"/>
      <c r="M351" s="48"/>
      <c r="N351" s="48"/>
      <c r="O351" s="48"/>
      <c r="P351" s="48"/>
    </row>
    <row r="352" spans="1:16" ht="15.6" x14ac:dyDescent="0.3">
      <c r="A352" s="45"/>
      <c r="B352" s="45"/>
      <c r="C352" s="45"/>
      <c r="D352" s="46"/>
      <c r="E352" s="45"/>
      <c r="F352" s="45"/>
      <c r="G352" s="45"/>
      <c r="H352" s="45"/>
      <c r="I352" s="45"/>
      <c r="J352" s="45"/>
      <c r="K352" s="45"/>
      <c r="L352" s="45"/>
      <c r="M352" s="48"/>
      <c r="N352" s="48"/>
      <c r="O352" s="48"/>
      <c r="P352" s="48"/>
    </row>
    <row r="353" spans="1:1" x14ac:dyDescent="0.3">
      <c r="A353" s="11"/>
    </row>
    <row r="354" spans="1:1" x14ac:dyDescent="0.3">
      <c r="A354" s="11"/>
    </row>
    <row r="355" spans="1:1" x14ac:dyDescent="0.3">
      <c r="A355" s="11"/>
    </row>
    <row r="356" spans="1:1" x14ac:dyDescent="0.3">
      <c r="A356" s="11"/>
    </row>
    <row r="357" spans="1:1" x14ac:dyDescent="0.3">
      <c r="A357" s="11"/>
    </row>
    <row r="358" spans="1:1" x14ac:dyDescent="0.3">
      <c r="A358" s="11"/>
    </row>
    <row r="359" spans="1:1" x14ac:dyDescent="0.3">
      <c r="A359" s="11"/>
    </row>
    <row r="360" spans="1:1" x14ac:dyDescent="0.3">
      <c r="A360" s="11"/>
    </row>
    <row r="361" spans="1:1" x14ac:dyDescent="0.3">
      <c r="A361" s="11"/>
    </row>
    <row r="362" spans="1:1" x14ac:dyDescent="0.3">
      <c r="A362" s="11"/>
    </row>
  </sheetData>
  <sortState xmlns:xlrd2="http://schemas.microsoft.com/office/spreadsheetml/2017/richdata2" ref="A2:P40">
    <sortCondition ref="J4:J40"/>
  </sortState>
  <phoneticPr fontId="10" type="noConversion"/>
  <pageMargins left="0.7" right="0.7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6C0A2-F769-4BCF-88C9-B94D66622787}">
  <sheetPr codeName="Hoja9"/>
  <dimension ref="C2:K43"/>
  <sheetViews>
    <sheetView zoomScale="90" zoomScaleNormal="90" workbookViewId="0">
      <selection activeCell="L6" sqref="L6"/>
    </sheetView>
  </sheetViews>
  <sheetFormatPr baseColWidth="10" defaultRowHeight="14.4" x14ac:dyDescent="0.3"/>
  <cols>
    <col min="6" max="6" width="18.6640625" bestFit="1" customWidth="1"/>
    <col min="7" max="7" width="19.44140625" bestFit="1" customWidth="1"/>
    <col min="9" max="9" width="14.21875" bestFit="1" customWidth="1"/>
  </cols>
  <sheetData>
    <row r="2" spans="3:10" x14ac:dyDescent="0.3">
      <c r="C2" s="45"/>
      <c r="D2" s="105" t="s">
        <v>380</v>
      </c>
      <c r="E2" s="105" t="s">
        <v>558</v>
      </c>
      <c r="F2" s="105" t="s">
        <v>562</v>
      </c>
      <c r="G2" s="105" t="s">
        <v>563</v>
      </c>
      <c r="H2" s="105" t="s">
        <v>559</v>
      </c>
      <c r="I2" s="105" t="s">
        <v>560</v>
      </c>
      <c r="J2" s="105" t="s">
        <v>561</v>
      </c>
    </row>
    <row r="3" spans="3:10" ht="15.6" x14ac:dyDescent="0.3">
      <c r="C3" s="327" t="s">
        <v>564</v>
      </c>
      <c r="D3" s="131">
        <v>46242</v>
      </c>
      <c r="E3" s="132" t="s">
        <v>508</v>
      </c>
      <c r="F3" s="133" t="s">
        <v>120</v>
      </c>
      <c r="G3" s="133" t="s">
        <v>121</v>
      </c>
      <c r="H3" s="134" t="s">
        <v>509</v>
      </c>
      <c r="I3" s="132" t="s">
        <v>484</v>
      </c>
      <c r="J3" s="135">
        <v>8</v>
      </c>
    </row>
    <row r="4" spans="3:10" ht="15.6" x14ac:dyDescent="0.3">
      <c r="C4" s="327"/>
      <c r="D4" s="131">
        <v>46242</v>
      </c>
      <c r="E4" s="132" t="s">
        <v>498</v>
      </c>
      <c r="F4" s="133" t="s">
        <v>220</v>
      </c>
      <c r="G4" s="133" t="s">
        <v>221</v>
      </c>
      <c r="H4" s="136" t="s">
        <v>546</v>
      </c>
      <c r="I4" s="132" t="s">
        <v>485</v>
      </c>
      <c r="J4" s="137">
        <v>18</v>
      </c>
    </row>
    <row r="5" spans="3:10" ht="15.6" x14ac:dyDescent="0.3">
      <c r="C5" s="327"/>
      <c r="D5" s="131">
        <v>46242</v>
      </c>
      <c r="E5" s="132" t="s">
        <v>524</v>
      </c>
      <c r="F5" s="133" t="s">
        <v>153</v>
      </c>
      <c r="G5" s="133" t="s">
        <v>154</v>
      </c>
      <c r="H5" s="132">
        <v>17.600000000000001</v>
      </c>
      <c r="I5" s="132" t="s">
        <v>484</v>
      </c>
      <c r="J5" s="135">
        <v>19</v>
      </c>
    </row>
    <row r="6" spans="3:10" ht="15.6" x14ac:dyDescent="0.3">
      <c r="C6" s="327"/>
      <c r="D6" s="131">
        <v>46242</v>
      </c>
      <c r="E6" s="132" t="s">
        <v>548</v>
      </c>
      <c r="F6" s="133" t="s">
        <v>39</v>
      </c>
      <c r="G6" s="133" t="s">
        <v>40</v>
      </c>
      <c r="H6" s="132" t="s">
        <v>549</v>
      </c>
      <c r="I6" s="132" t="s">
        <v>484</v>
      </c>
      <c r="J6" s="135">
        <v>16</v>
      </c>
    </row>
    <row r="7" spans="3:10" ht="15.6" x14ac:dyDescent="0.3">
      <c r="C7" s="327"/>
      <c r="D7" s="131">
        <v>46242</v>
      </c>
      <c r="E7" s="132" t="s">
        <v>495</v>
      </c>
      <c r="F7" s="133" t="s">
        <v>107</v>
      </c>
      <c r="G7" s="133" t="s">
        <v>108</v>
      </c>
      <c r="H7" s="134" t="s">
        <v>545</v>
      </c>
      <c r="I7" s="132" t="s">
        <v>485</v>
      </c>
      <c r="J7" s="135">
        <v>16</v>
      </c>
    </row>
    <row r="8" spans="3:10" ht="15.6" x14ac:dyDescent="0.3">
      <c r="C8" s="327"/>
      <c r="D8" s="131">
        <v>46242</v>
      </c>
      <c r="E8" s="132" t="s">
        <v>526</v>
      </c>
      <c r="F8" s="133" t="s">
        <v>149</v>
      </c>
      <c r="G8" s="133" t="s">
        <v>150</v>
      </c>
      <c r="H8" s="132" t="s">
        <v>554</v>
      </c>
      <c r="I8" s="132" t="s">
        <v>484</v>
      </c>
      <c r="J8" s="135">
        <v>11</v>
      </c>
    </row>
    <row r="9" spans="3:10" ht="15.6" x14ac:dyDescent="0.3">
      <c r="C9" s="327"/>
      <c r="D9" s="131">
        <v>46242</v>
      </c>
      <c r="E9" s="132">
        <v>28225</v>
      </c>
      <c r="F9" s="133" t="s">
        <v>222</v>
      </c>
      <c r="G9" s="133" t="s">
        <v>233</v>
      </c>
      <c r="H9" s="132" t="s">
        <v>490</v>
      </c>
      <c r="I9" s="132" t="s">
        <v>484</v>
      </c>
      <c r="J9" s="135">
        <v>14</v>
      </c>
    </row>
    <row r="10" spans="3:10" ht="15.6" x14ac:dyDescent="0.3">
      <c r="C10" s="327"/>
      <c r="D10" s="131">
        <v>46242</v>
      </c>
      <c r="E10" s="132">
        <v>9530</v>
      </c>
      <c r="F10" s="133" t="s">
        <v>461</v>
      </c>
      <c r="G10" s="133" t="s">
        <v>284</v>
      </c>
      <c r="H10" s="136">
        <v>10.1</v>
      </c>
      <c r="I10" s="132" t="s">
        <v>484</v>
      </c>
      <c r="J10" s="137">
        <v>10</v>
      </c>
    </row>
    <row r="11" spans="3:10" ht="15.6" x14ac:dyDescent="0.3">
      <c r="C11" s="327" t="s">
        <v>565</v>
      </c>
      <c r="D11" s="125">
        <v>46242</v>
      </c>
      <c r="E11" s="126" t="s">
        <v>535</v>
      </c>
      <c r="F11" s="127" t="s">
        <v>270</v>
      </c>
      <c r="G11" s="127" t="s">
        <v>271</v>
      </c>
      <c r="H11" s="128" t="s">
        <v>536</v>
      </c>
      <c r="I11" s="126" t="s">
        <v>484</v>
      </c>
      <c r="J11" s="129">
        <v>19</v>
      </c>
    </row>
    <row r="12" spans="3:10" ht="15.6" x14ac:dyDescent="0.3">
      <c r="C12" s="327"/>
      <c r="D12" s="125">
        <v>46242</v>
      </c>
      <c r="E12" s="130" t="s">
        <v>543</v>
      </c>
      <c r="F12" s="144" t="s">
        <v>353</v>
      </c>
      <c r="G12" s="144" t="s">
        <v>354</v>
      </c>
      <c r="H12" s="128" t="s">
        <v>544</v>
      </c>
      <c r="I12" s="126" t="s">
        <v>485</v>
      </c>
      <c r="J12" s="129">
        <v>24</v>
      </c>
    </row>
    <row r="13" spans="3:10" ht="15.6" x14ac:dyDescent="0.3">
      <c r="C13" s="327"/>
      <c r="D13" s="125">
        <v>46242</v>
      </c>
      <c r="E13" s="139" t="s">
        <v>550</v>
      </c>
      <c r="F13" s="127" t="s">
        <v>231</v>
      </c>
      <c r="G13" s="127" t="s">
        <v>232</v>
      </c>
      <c r="H13" s="140" t="s">
        <v>551</v>
      </c>
      <c r="I13" s="140" t="s">
        <v>485</v>
      </c>
      <c r="J13" s="141">
        <v>22</v>
      </c>
    </row>
    <row r="14" spans="3:10" ht="15.6" x14ac:dyDescent="0.3">
      <c r="C14" s="327"/>
      <c r="D14" s="125">
        <v>46242</v>
      </c>
      <c r="E14" s="126" t="s">
        <v>556</v>
      </c>
      <c r="F14" s="127" t="s">
        <v>188</v>
      </c>
      <c r="G14" s="127" t="s">
        <v>189</v>
      </c>
      <c r="H14" s="142" t="s">
        <v>557</v>
      </c>
      <c r="I14" s="142" t="s">
        <v>485</v>
      </c>
      <c r="J14" s="143">
        <v>23</v>
      </c>
    </row>
    <row r="15" spans="3:10" ht="15.6" x14ac:dyDescent="0.3">
      <c r="C15" s="327"/>
      <c r="D15" s="125">
        <v>46242</v>
      </c>
      <c r="E15" s="126" t="s">
        <v>523</v>
      </c>
      <c r="F15" s="127" t="s">
        <v>287</v>
      </c>
      <c r="G15" s="127" t="s">
        <v>288</v>
      </c>
      <c r="H15" s="126" t="s">
        <v>500</v>
      </c>
      <c r="I15" s="126" t="s">
        <v>485</v>
      </c>
      <c r="J15" s="129">
        <v>28</v>
      </c>
    </row>
    <row r="16" spans="3:10" ht="15.6" x14ac:dyDescent="0.3">
      <c r="C16" s="327"/>
      <c r="D16" s="125">
        <v>46242</v>
      </c>
      <c r="E16" s="126" t="s">
        <v>537</v>
      </c>
      <c r="F16" s="127" t="s">
        <v>28</v>
      </c>
      <c r="G16" s="127" t="s">
        <v>29</v>
      </c>
      <c r="H16" s="126" t="s">
        <v>555</v>
      </c>
      <c r="I16" s="126" t="s">
        <v>485</v>
      </c>
      <c r="J16" s="129">
        <v>26</v>
      </c>
    </row>
    <row r="17" spans="3:11" ht="15.6" x14ac:dyDescent="0.3">
      <c r="C17" s="327"/>
      <c r="D17" s="125">
        <v>46242</v>
      </c>
      <c r="E17" s="126" t="s">
        <v>552</v>
      </c>
      <c r="F17" s="127" t="s">
        <v>363</v>
      </c>
      <c r="G17" s="127" t="s">
        <v>119</v>
      </c>
      <c r="H17" s="142" t="s">
        <v>553</v>
      </c>
      <c r="I17" s="126" t="s">
        <v>485</v>
      </c>
      <c r="J17" s="129">
        <v>27</v>
      </c>
    </row>
    <row r="18" spans="3:11" ht="15.6" x14ac:dyDescent="0.3">
      <c r="C18" s="327"/>
      <c r="D18" s="125"/>
      <c r="E18" s="126"/>
      <c r="F18" s="127"/>
      <c r="G18" s="127"/>
      <c r="H18" s="126"/>
      <c r="I18" s="126"/>
      <c r="J18" s="129"/>
    </row>
    <row r="22" spans="3:11" ht="15.6" x14ac:dyDescent="0.3">
      <c r="D22" s="131">
        <v>46242</v>
      </c>
      <c r="E22" s="132" t="s">
        <v>508</v>
      </c>
      <c r="F22" s="133" t="s">
        <v>120</v>
      </c>
      <c r="G22" s="133" t="s">
        <v>121</v>
      </c>
      <c r="H22" s="134" t="s">
        <v>509</v>
      </c>
      <c r="I22" s="132" t="s">
        <v>484</v>
      </c>
      <c r="J22" s="135">
        <v>8</v>
      </c>
      <c r="K22" s="326" t="s">
        <v>566</v>
      </c>
    </row>
    <row r="23" spans="3:11" ht="15.6" x14ac:dyDescent="0.3">
      <c r="D23" s="131">
        <v>46242</v>
      </c>
      <c r="E23" s="132" t="s">
        <v>498</v>
      </c>
      <c r="F23" s="133" t="s">
        <v>220</v>
      </c>
      <c r="G23" s="133" t="s">
        <v>221</v>
      </c>
      <c r="H23" s="134" t="s">
        <v>546</v>
      </c>
      <c r="I23" s="132" t="s">
        <v>485</v>
      </c>
      <c r="J23" s="135">
        <v>18</v>
      </c>
      <c r="K23" s="326"/>
    </row>
    <row r="24" spans="3:11" ht="15.6" x14ac:dyDescent="0.3">
      <c r="D24" s="131">
        <v>46242</v>
      </c>
      <c r="E24" s="132" t="s">
        <v>524</v>
      </c>
      <c r="F24" s="133" t="s">
        <v>153</v>
      </c>
      <c r="G24" s="133" t="s">
        <v>154</v>
      </c>
      <c r="H24" s="134">
        <v>17.600000000000001</v>
      </c>
      <c r="I24" s="132" t="s">
        <v>484</v>
      </c>
      <c r="J24" s="135">
        <v>19</v>
      </c>
      <c r="K24" s="326"/>
    </row>
    <row r="25" spans="3:11" ht="15.6" x14ac:dyDescent="0.3">
      <c r="D25" s="131">
        <v>46242</v>
      </c>
      <c r="E25" s="132" t="s">
        <v>548</v>
      </c>
      <c r="F25" s="133" t="s">
        <v>39</v>
      </c>
      <c r="G25" s="133" t="s">
        <v>40</v>
      </c>
      <c r="H25" s="138" t="s">
        <v>549</v>
      </c>
      <c r="I25" s="132" t="s">
        <v>484</v>
      </c>
      <c r="J25" s="135">
        <v>16</v>
      </c>
      <c r="K25" s="326"/>
    </row>
    <row r="26" spans="3:11" x14ac:dyDescent="0.3">
      <c r="K26" s="145"/>
    </row>
    <row r="27" spans="3:11" x14ac:dyDescent="0.3">
      <c r="K27" s="145"/>
    </row>
    <row r="28" spans="3:11" ht="15.6" x14ac:dyDescent="0.3">
      <c r="D28" s="131">
        <v>46242</v>
      </c>
      <c r="E28" s="132" t="s">
        <v>495</v>
      </c>
      <c r="F28" s="133" t="s">
        <v>107</v>
      </c>
      <c r="G28" s="133" t="s">
        <v>108</v>
      </c>
      <c r="H28" s="134" t="s">
        <v>545</v>
      </c>
      <c r="I28" s="132" t="s">
        <v>485</v>
      </c>
      <c r="J28" s="135">
        <v>16</v>
      </c>
      <c r="K28" s="328" t="s">
        <v>567</v>
      </c>
    </row>
    <row r="29" spans="3:11" ht="15.6" x14ac:dyDescent="0.3">
      <c r="D29" s="131">
        <v>46242</v>
      </c>
      <c r="E29" s="132" t="s">
        <v>526</v>
      </c>
      <c r="F29" s="133" t="s">
        <v>149</v>
      </c>
      <c r="G29" s="133" t="s">
        <v>150</v>
      </c>
      <c r="H29" s="132" t="s">
        <v>554</v>
      </c>
      <c r="I29" s="132" t="s">
        <v>484</v>
      </c>
      <c r="J29" s="135">
        <v>11</v>
      </c>
      <c r="K29" s="328"/>
    </row>
    <row r="30" spans="3:11" ht="15.6" x14ac:dyDescent="0.3">
      <c r="D30" s="125">
        <v>46242</v>
      </c>
      <c r="E30" s="126" t="s">
        <v>556</v>
      </c>
      <c r="F30" s="127" t="s">
        <v>188</v>
      </c>
      <c r="G30" s="127" t="s">
        <v>189</v>
      </c>
      <c r="H30" s="142" t="s">
        <v>557</v>
      </c>
      <c r="I30" s="142" t="s">
        <v>485</v>
      </c>
      <c r="J30" s="143">
        <v>23</v>
      </c>
      <c r="K30" s="328"/>
    </row>
    <row r="31" spans="3:11" ht="15.6" x14ac:dyDescent="0.3">
      <c r="D31" s="125">
        <v>46242</v>
      </c>
      <c r="E31" s="126" t="s">
        <v>523</v>
      </c>
      <c r="F31" s="127" t="s">
        <v>287</v>
      </c>
      <c r="G31" s="127" t="s">
        <v>288</v>
      </c>
      <c r="H31" s="126" t="s">
        <v>500</v>
      </c>
      <c r="I31" s="126" t="s">
        <v>485</v>
      </c>
      <c r="J31" s="129">
        <v>28</v>
      </c>
      <c r="K31" s="328"/>
    </row>
    <row r="34" spans="4:11" ht="15.6" x14ac:dyDescent="0.3">
      <c r="D34" s="131">
        <v>46242</v>
      </c>
      <c r="E34" s="132">
        <v>28225</v>
      </c>
      <c r="F34" s="133" t="s">
        <v>222</v>
      </c>
      <c r="G34" s="133" t="s">
        <v>233</v>
      </c>
      <c r="H34" s="132" t="s">
        <v>490</v>
      </c>
      <c r="I34" s="132" t="s">
        <v>484</v>
      </c>
      <c r="J34" s="135">
        <v>14</v>
      </c>
      <c r="K34" s="328" t="s">
        <v>567</v>
      </c>
    </row>
    <row r="35" spans="4:11" ht="15.6" x14ac:dyDescent="0.3">
      <c r="D35" s="131">
        <v>46242</v>
      </c>
      <c r="E35" s="132">
        <v>9530</v>
      </c>
      <c r="F35" s="133" t="s">
        <v>461</v>
      </c>
      <c r="G35" s="133" t="s">
        <v>284</v>
      </c>
      <c r="H35" s="136">
        <v>10.1</v>
      </c>
      <c r="I35" s="132" t="s">
        <v>484</v>
      </c>
      <c r="J35" s="137">
        <v>10</v>
      </c>
      <c r="K35" s="328"/>
    </row>
    <row r="36" spans="4:11" ht="15.6" x14ac:dyDescent="0.3">
      <c r="D36" s="125">
        <v>46242</v>
      </c>
      <c r="E36" s="130" t="s">
        <v>543</v>
      </c>
      <c r="F36" s="144" t="s">
        <v>353</v>
      </c>
      <c r="G36" s="144" t="s">
        <v>354</v>
      </c>
      <c r="H36" s="128" t="s">
        <v>544</v>
      </c>
      <c r="I36" s="126" t="s">
        <v>485</v>
      </c>
      <c r="J36" s="129">
        <v>24</v>
      </c>
      <c r="K36" s="328"/>
    </row>
    <row r="37" spans="4:11" ht="15.6" x14ac:dyDescent="0.3">
      <c r="D37" s="125">
        <v>46242</v>
      </c>
      <c r="E37" s="126" t="s">
        <v>511</v>
      </c>
      <c r="F37" s="127" t="s">
        <v>225</v>
      </c>
      <c r="G37" s="127" t="s">
        <v>226</v>
      </c>
      <c r="H37" s="128" t="s">
        <v>547</v>
      </c>
      <c r="I37" s="126" t="s">
        <v>485</v>
      </c>
      <c r="J37" s="129">
        <v>20</v>
      </c>
      <c r="K37" s="328"/>
    </row>
    <row r="40" spans="4:11" ht="15.6" x14ac:dyDescent="0.3">
      <c r="D40" s="125">
        <v>46242</v>
      </c>
      <c r="E40" s="126" t="s">
        <v>535</v>
      </c>
      <c r="F40" s="127" t="s">
        <v>270</v>
      </c>
      <c r="G40" s="127" t="s">
        <v>271</v>
      </c>
      <c r="H40" s="128" t="s">
        <v>536</v>
      </c>
      <c r="I40" s="126" t="s">
        <v>484</v>
      </c>
      <c r="J40" s="129">
        <v>19</v>
      </c>
      <c r="K40" s="326" t="s">
        <v>566</v>
      </c>
    </row>
    <row r="41" spans="4:11" ht="15.6" x14ac:dyDescent="0.3">
      <c r="D41" s="125">
        <v>46242</v>
      </c>
      <c r="E41" s="139" t="s">
        <v>550</v>
      </c>
      <c r="F41" s="127" t="s">
        <v>231</v>
      </c>
      <c r="G41" s="127" t="s">
        <v>232</v>
      </c>
      <c r="H41" s="140" t="s">
        <v>551</v>
      </c>
      <c r="I41" s="140" t="s">
        <v>485</v>
      </c>
      <c r="J41" s="141">
        <v>22</v>
      </c>
      <c r="K41" s="326"/>
    </row>
    <row r="42" spans="4:11" ht="15.6" x14ac:dyDescent="0.3">
      <c r="D42" s="125">
        <v>46242</v>
      </c>
      <c r="E42" s="126" t="s">
        <v>537</v>
      </c>
      <c r="F42" s="127" t="s">
        <v>28</v>
      </c>
      <c r="G42" s="127" t="s">
        <v>29</v>
      </c>
      <c r="H42" s="126" t="s">
        <v>555</v>
      </c>
      <c r="I42" s="126" t="s">
        <v>485</v>
      </c>
      <c r="J42" s="129">
        <v>26</v>
      </c>
      <c r="K42" s="326"/>
    </row>
    <row r="43" spans="4:11" ht="15.6" x14ac:dyDescent="0.3">
      <c r="D43" s="125">
        <v>46242</v>
      </c>
      <c r="E43" s="126" t="s">
        <v>552</v>
      </c>
      <c r="F43" s="127" t="s">
        <v>363</v>
      </c>
      <c r="G43" s="127" t="s">
        <v>119</v>
      </c>
      <c r="H43" s="142" t="s">
        <v>553</v>
      </c>
      <c r="I43" s="126" t="s">
        <v>485</v>
      </c>
      <c r="J43" s="129">
        <v>27</v>
      </c>
      <c r="K43" s="326"/>
    </row>
  </sheetData>
  <sortState xmlns:xlrd2="http://schemas.microsoft.com/office/spreadsheetml/2017/richdata2" ref="D3:J18">
    <sortCondition ref="J3:J18"/>
  </sortState>
  <mergeCells count="6">
    <mergeCell ref="K40:K43"/>
    <mergeCell ref="C3:C10"/>
    <mergeCell ref="C11:C18"/>
    <mergeCell ref="K22:K25"/>
    <mergeCell ref="K28:K31"/>
    <mergeCell ref="K34:K37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70DA1-3B13-4F0F-B225-827BF420CED5}">
  <sheetPr codeName="Hoja6"/>
  <dimension ref="A1:Y21"/>
  <sheetViews>
    <sheetView topLeftCell="K1" zoomScale="175" zoomScaleNormal="175" workbookViewId="0">
      <selection activeCell="R11" sqref="R11"/>
    </sheetView>
  </sheetViews>
  <sheetFormatPr baseColWidth="10" defaultColWidth="11.44140625" defaultRowHeight="14.4" x14ac:dyDescent="0.3"/>
  <cols>
    <col min="1" max="1" width="8.109375" bestFit="1" customWidth="1"/>
    <col min="2" max="2" width="8" bestFit="1" customWidth="1"/>
    <col min="3" max="3" width="8.44140625" bestFit="1" customWidth="1"/>
    <col min="4" max="4" width="1.77734375" customWidth="1"/>
    <col min="5" max="5" width="9.109375" bestFit="1" customWidth="1"/>
    <col min="6" max="6" width="11.77734375" bestFit="1" customWidth="1"/>
    <col min="7" max="7" width="1.77734375" customWidth="1"/>
    <col min="8" max="8" width="9.109375" bestFit="1" customWidth="1"/>
    <col min="9" max="9" width="11.77734375" bestFit="1" customWidth="1"/>
    <col min="10" max="10" width="6" bestFit="1" customWidth="1"/>
    <col min="11" max="11" width="1.6640625" customWidth="1"/>
    <col min="12" max="12" width="9.109375" bestFit="1" customWidth="1"/>
    <col min="13" max="13" width="10.33203125" bestFit="1" customWidth="1"/>
    <col min="14" max="14" width="1.88671875" customWidth="1"/>
    <col min="15" max="15" width="9.109375" bestFit="1" customWidth="1"/>
    <col min="16" max="16" width="10.33203125" bestFit="1" customWidth="1"/>
    <col min="17" max="17" width="1.77734375" customWidth="1"/>
    <col min="18" max="18" width="9.109375" bestFit="1" customWidth="1"/>
    <col min="19" max="19" width="11.88671875" bestFit="1" customWidth="1"/>
    <col min="20" max="20" width="1.77734375" customWidth="1"/>
    <col min="21" max="21" width="9.109375" bestFit="1" customWidth="1"/>
    <col min="22" max="22" width="11.77734375" bestFit="1" customWidth="1"/>
    <col min="23" max="23" width="1.77734375" customWidth="1"/>
    <col min="25" max="25" width="11.77734375" bestFit="1" customWidth="1"/>
  </cols>
  <sheetData>
    <row r="1" spans="1:25" x14ac:dyDescent="0.3">
      <c r="A1" t="s">
        <v>391</v>
      </c>
      <c r="B1" t="s">
        <v>392</v>
      </c>
      <c r="C1" t="s">
        <v>393</v>
      </c>
      <c r="E1" t="s">
        <v>394</v>
      </c>
      <c r="F1">
        <v>8</v>
      </c>
      <c r="L1" t="s">
        <v>394</v>
      </c>
      <c r="M1">
        <v>3</v>
      </c>
      <c r="O1" t="s">
        <v>394</v>
      </c>
      <c r="P1">
        <v>4</v>
      </c>
      <c r="R1" t="s">
        <v>394</v>
      </c>
      <c r="S1">
        <v>5</v>
      </c>
      <c r="U1" t="s">
        <v>394</v>
      </c>
      <c r="V1">
        <v>6</v>
      </c>
      <c r="X1" t="s">
        <v>394</v>
      </c>
      <c r="Y1">
        <v>7</v>
      </c>
    </row>
    <row r="2" spans="1:25" x14ac:dyDescent="0.3">
      <c r="A2">
        <v>100</v>
      </c>
      <c r="B2">
        <v>200</v>
      </c>
      <c r="C2">
        <v>100</v>
      </c>
      <c r="E2" t="s">
        <v>387</v>
      </c>
      <c r="F2" s="10">
        <f>((F1*4)-4)*60000</f>
        <v>1680000</v>
      </c>
      <c r="L2" t="s">
        <v>387</v>
      </c>
      <c r="M2" s="10">
        <f>((M1*4)-3)*60000</f>
        <v>540000</v>
      </c>
      <c r="O2" t="s">
        <v>387</v>
      </c>
      <c r="P2" s="10">
        <f>((P1*4)-4)*60000</f>
        <v>720000</v>
      </c>
      <c r="R2" t="s">
        <v>387</v>
      </c>
      <c r="S2" s="10">
        <f>((S1*4)-5)*60000</f>
        <v>900000</v>
      </c>
      <c r="U2" t="s">
        <v>387</v>
      </c>
      <c r="V2" s="10">
        <f>((V1*4)-6)*60000</f>
        <v>1080000</v>
      </c>
      <c r="X2" t="s">
        <v>387</v>
      </c>
      <c r="Y2" s="10">
        <f>((Y1*4)-7)*60000</f>
        <v>1260000</v>
      </c>
    </row>
    <row r="3" spans="1:25" x14ac:dyDescent="0.3">
      <c r="A3">
        <f>+A2-5</f>
        <v>95</v>
      </c>
      <c r="B3">
        <f>+B2-10</f>
        <v>190</v>
      </c>
      <c r="C3">
        <f>+C2-5</f>
        <v>95</v>
      </c>
      <c r="E3" t="s">
        <v>390</v>
      </c>
      <c r="F3" s="10">
        <v>340000</v>
      </c>
      <c r="L3" t="s">
        <v>390</v>
      </c>
      <c r="M3" s="10">
        <v>110000</v>
      </c>
      <c r="O3" t="s">
        <v>390</v>
      </c>
      <c r="P3" s="10">
        <v>150000</v>
      </c>
      <c r="R3" t="s">
        <v>390</v>
      </c>
      <c r="S3" s="10">
        <f>S2*20%</f>
        <v>180000</v>
      </c>
      <c r="U3" t="s">
        <v>390</v>
      </c>
      <c r="V3" s="10">
        <v>220000</v>
      </c>
      <c r="X3" t="s">
        <v>390</v>
      </c>
      <c r="Y3" s="10">
        <v>290000</v>
      </c>
    </row>
    <row r="4" spans="1:25" x14ac:dyDescent="0.3">
      <c r="A4">
        <f t="shared" ref="A4:C21" si="0">+A3-5</f>
        <v>90</v>
      </c>
      <c r="B4">
        <f t="shared" ref="B4:B21" si="1">+B3-10</f>
        <v>180</v>
      </c>
      <c r="C4">
        <f t="shared" si="0"/>
        <v>90</v>
      </c>
      <c r="E4" t="s">
        <v>395</v>
      </c>
      <c r="F4" s="10">
        <v>300000</v>
      </c>
      <c r="J4">
        <v>26666.666666666668</v>
      </c>
      <c r="L4" t="s">
        <v>395</v>
      </c>
      <c r="M4" s="10">
        <v>190000</v>
      </c>
      <c r="O4" t="s">
        <v>395</v>
      </c>
      <c r="P4" s="10">
        <v>220000</v>
      </c>
      <c r="R4" t="s">
        <v>395</v>
      </c>
      <c r="S4" s="10">
        <v>230000</v>
      </c>
      <c r="U4" t="s">
        <v>395</v>
      </c>
      <c r="V4" s="10">
        <v>250000</v>
      </c>
      <c r="X4" t="s">
        <v>395</v>
      </c>
      <c r="Y4" s="10">
        <v>290000</v>
      </c>
    </row>
    <row r="5" spans="1:25" x14ac:dyDescent="0.3">
      <c r="A5">
        <f t="shared" si="0"/>
        <v>85</v>
      </c>
      <c r="B5">
        <f t="shared" si="1"/>
        <v>170</v>
      </c>
      <c r="C5">
        <f t="shared" si="0"/>
        <v>85</v>
      </c>
      <c r="E5" t="s">
        <v>396</v>
      </c>
      <c r="F5" s="10">
        <v>250000</v>
      </c>
      <c r="L5" t="s">
        <v>396</v>
      </c>
      <c r="M5" s="10">
        <v>140000</v>
      </c>
      <c r="O5" t="s">
        <v>396</v>
      </c>
      <c r="P5" s="10">
        <v>150000</v>
      </c>
      <c r="R5" t="s">
        <v>396</v>
      </c>
      <c r="S5" s="10">
        <v>170000</v>
      </c>
      <c r="U5" t="s">
        <v>396</v>
      </c>
      <c r="V5" s="10">
        <v>180000</v>
      </c>
      <c r="X5" t="s">
        <v>396</v>
      </c>
      <c r="Y5" s="10">
        <v>220000</v>
      </c>
    </row>
    <row r="6" spans="1:25" x14ac:dyDescent="0.3">
      <c r="A6">
        <f t="shared" si="0"/>
        <v>80</v>
      </c>
      <c r="B6">
        <f t="shared" si="1"/>
        <v>160</v>
      </c>
      <c r="C6">
        <f t="shared" si="0"/>
        <v>80</v>
      </c>
      <c r="E6" t="s">
        <v>397</v>
      </c>
      <c r="F6" s="10">
        <v>200000</v>
      </c>
      <c r="L6" t="s">
        <v>397</v>
      </c>
      <c r="M6" s="10">
        <v>100000</v>
      </c>
      <c r="O6" t="s">
        <v>397</v>
      </c>
      <c r="P6" s="10">
        <v>110000</v>
      </c>
      <c r="R6" t="s">
        <v>397</v>
      </c>
      <c r="S6" s="10">
        <v>130000</v>
      </c>
      <c r="U6" t="s">
        <v>397</v>
      </c>
      <c r="V6" s="10">
        <v>140000</v>
      </c>
      <c r="X6" t="s">
        <v>397</v>
      </c>
      <c r="Y6" s="10">
        <v>170000</v>
      </c>
    </row>
    <row r="7" spans="1:25" x14ac:dyDescent="0.3">
      <c r="A7">
        <f t="shared" si="0"/>
        <v>75</v>
      </c>
      <c r="B7">
        <f t="shared" si="1"/>
        <v>150</v>
      </c>
      <c r="C7">
        <f t="shared" si="0"/>
        <v>75</v>
      </c>
      <c r="E7" t="s">
        <v>398</v>
      </c>
      <c r="F7" s="10">
        <v>180000</v>
      </c>
      <c r="M7" s="10"/>
      <c r="O7" t="s">
        <v>398</v>
      </c>
      <c r="P7" s="10">
        <v>90000</v>
      </c>
      <c r="R7" t="s">
        <v>398</v>
      </c>
      <c r="S7" s="10">
        <v>110000</v>
      </c>
      <c r="U7" t="s">
        <v>398</v>
      </c>
      <c r="V7" s="10">
        <v>120000</v>
      </c>
      <c r="X7" t="s">
        <v>398</v>
      </c>
      <c r="Y7" s="10">
        <v>150000</v>
      </c>
    </row>
    <row r="8" spans="1:25" x14ac:dyDescent="0.3">
      <c r="A8">
        <f t="shared" si="0"/>
        <v>70</v>
      </c>
      <c r="B8">
        <f t="shared" si="1"/>
        <v>140</v>
      </c>
      <c r="C8">
        <f t="shared" si="0"/>
        <v>70</v>
      </c>
      <c r="E8" t="s">
        <v>399</v>
      </c>
      <c r="F8" s="10">
        <v>150000</v>
      </c>
      <c r="M8" s="10">
        <f>+SUM(M3:M7)-M2</f>
        <v>0</v>
      </c>
      <c r="P8" s="10">
        <f>+SUM(P3:P7)-P2</f>
        <v>0</v>
      </c>
      <c r="R8" t="s">
        <v>399</v>
      </c>
      <c r="S8" s="10">
        <v>80000</v>
      </c>
      <c r="U8" t="s">
        <v>399</v>
      </c>
      <c r="V8" s="10">
        <v>90000</v>
      </c>
      <c r="X8" t="s">
        <v>399</v>
      </c>
      <c r="Y8" s="10">
        <v>130000</v>
      </c>
    </row>
    <row r="9" spans="1:25" x14ac:dyDescent="0.3">
      <c r="A9">
        <f t="shared" si="0"/>
        <v>65</v>
      </c>
      <c r="B9">
        <f t="shared" si="1"/>
        <v>130</v>
      </c>
      <c r="C9">
        <f t="shared" si="0"/>
        <v>65</v>
      </c>
      <c r="E9" t="s">
        <v>400</v>
      </c>
      <c r="F9" s="10">
        <v>120000</v>
      </c>
      <c r="S9" s="10">
        <f>+SUM(S3:S8)-S2</f>
        <v>0</v>
      </c>
      <c r="U9" t="s">
        <v>400</v>
      </c>
      <c r="V9" s="10">
        <v>80000</v>
      </c>
      <c r="X9" t="s">
        <v>400</v>
      </c>
      <c r="Y9" s="10">
        <v>110000</v>
      </c>
    </row>
    <row r="10" spans="1:25" x14ac:dyDescent="0.3">
      <c r="A10">
        <f t="shared" si="0"/>
        <v>60</v>
      </c>
      <c r="B10">
        <f t="shared" si="1"/>
        <v>120</v>
      </c>
      <c r="C10">
        <f t="shared" si="0"/>
        <v>60</v>
      </c>
      <c r="E10" t="s">
        <v>401</v>
      </c>
      <c r="F10" s="10">
        <v>90000</v>
      </c>
      <c r="V10" s="10">
        <f>+SUM(V3:V9)-V2</f>
        <v>0</v>
      </c>
      <c r="X10" t="s">
        <v>401</v>
      </c>
      <c r="Y10" s="10">
        <v>80000</v>
      </c>
    </row>
    <row r="11" spans="1:25" x14ac:dyDescent="0.3">
      <c r="A11">
        <f t="shared" si="0"/>
        <v>55</v>
      </c>
      <c r="B11">
        <f t="shared" si="1"/>
        <v>110</v>
      </c>
      <c r="C11">
        <f t="shared" si="0"/>
        <v>55</v>
      </c>
      <c r="E11" t="s">
        <v>402</v>
      </c>
      <c r="F11" s="10">
        <v>60000</v>
      </c>
      <c r="Y11" s="10">
        <f>+SUM(Y3:Y10)-Y2</f>
        <v>180000</v>
      </c>
    </row>
    <row r="12" spans="1:25" x14ac:dyDescent="0.3">
      <c r="A12">
        <f t="shared" si="0"/>
        <v>50</v>
      </c>
      <c r="B12">
        <f t="shared" si="1"/>
        <v>100</v>
      </c>
      <c r="C12">
        <f t="shared" si="0"/>
        <v>50</v>
      </c>
      <c r="F12" s="10">
        <f>+SUM(F3:F11)-F2</f>
        <v>10000</v>
      </c>
      <c r="I12" s="10"/>
    </row>
    <row r="13" spans="1:25" x14ac:dyDescent="0.3">
      <c r="A13">
        <f t="shared" si="0"/>
        <v>45</v>
      </c>
      <c r="B13">
        <f t="shared" si="1"/>
        <v>90</v>
      </c>
      <c r="C13">
        <f t="shared" si="0"/>
        <v>45</v>
      </c>
      <c r="F13" s="10"/>
      <c r="I13" s="10"/>
      <c r="V13" s="10"/>
    </row>
    <row r="14" spans="1:25" x14ac:dyDescent="0.3">
      <c r="A14">
        <f t="shared" si="0"/>
        <v>40</v>
      </c>
      <c r="B14">
        <f t="shared" si="1"/>
        <v>80</v>
      </c>
      <c r="C14">
        <f t="shared" si="0"/>
        <v>40</v>
      </c>
      <c r="F14" s="10"/>
      <c r="I14" s="10"/>
      <c r="V14" s="10"/>
    </row>
    <row r="15" spans="1:25" x14ac:dyDescent="0.3">
      <c r="A15">
        <f t="shared" si="0"/>
        <v>35</v>
      </c>
      <c r="B15">
        <f t="shared" si="1"/>
        <v>70</v>
      </c>
      <c r="C15">
        <f t="shared" si="0"/>
        <v>35</v>
      </c>
      <c r="F15" s="10"/>
      <c r="V15" s="10"/>
    </row>
    <row r="16" spans="1:25" x14ac:dyDescent="0.3">
      <c r="A16">
        <f t="shared" si="0"/>
        <v>30</v>
      </c>
      <c r="B16">
        <f t="shared" si="1"/>
        <v>60</v>
      </c>
      <c r="C16">
        <f t="shared" si="0"/>
        <v>30</v>
      </c>
      <c r="V16" s="10"/>
    </row>
    <row r="17" spans="1:22" x14ac:dyDescent="0.3">
      <c r="A17">
        <f t="shared" si="0"/>
        <v>25</v>
      </c>
      <c r="B17">
        <f t="shared" si="1"/>
        <v>50</v>
      </c>
      <c r="C17">
        <f t="shared" si="0"/>
        <v>25</v>
      </c>
      <c r="V17" s="10"/>
    </row>
    <row r="18" spans="1:22" x14ac:dyDescent="0.3">
      <c r="A18">
        <f t="shared" si="0"/>
        <v>20</v>
      </c>
      <c r="B18">
        <f t="shared" si="1"/>
        <v>40</v>
      </c>
      <c r="C18">
        <f t="shared" si="0"/>
        <v>20</v>
      </c>
      <c r="V18" s="10"/>
    </row>
    <row r="19" spans="1:22" x14ac:dyDescent="0.3">
      <c r="A19">
        <f t="shared" si="0"/>
        <v>15</v>
      </c>
      <c r="B19">
        <f t="shared" si="1"/>
        <v>30</v>
      </c>
      <c r="C19">
        <f t="shared" si="0"/>
        <v>15</v>
      </c>
      <c r="V19" s="10"/>
    </row>
    <row r="20" spans="1:22" x14ac:dyDescent="0.3">
      <c r="A20">
        <f t="shared" si="0"/>
        <v>10</v>
      </c>
      <c r="B20">
        <f t="shared" si="1"/>
        <v>20</v>
      </c>
      <c r="C20">
        <f t="shared" si="0"/>
        <v>10</v>
      </c>
      <c r="V20" s="10"/>
    </row>
    <row r="21" spans="1:22" x14ac:dyDescent="0.3">
      <c r="A21">
        <f t="shared" si="0"/>
        <v>5</v>
      </c>
      <c r="B21">
        <f t="shared" si="1"/>
        <v>10</v>
      </c>
      <c r="C21">
        <f t="shared" si="0"/>
        <v>5</v>
      </c>
      <c r="V21" s="10"/>
    </row>
  </sheetData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5E802-2312-46A5-9378-F6EDA2425CB1}">
  <sheetPr codeName="Hoja7"/>
  <dimension ref="A1:AK199"/>
  <sheetViews>
    <sheetView view="pageBreakPreview" zoomScale="117" zoomScaleNormal="117" zoomScaleSheetLayoutView="117" workbookViewId="0">
      <selection activeCell="D4" sqref="D4"/>
    </sheetView>
  </sheetViews>
  <sheetFormatPr baseColWidth="10" defaultColWidth="11.44140625" defaultRowHeight="14.4" x14ac:dyDescent="0.3"/>
  <cols>
    <col min="1" max="1" width="11.109375" bestFit="1" customWidth="1"/>
    <col min="2" max="2" width="20.6640625" bestFit="1" customWidth="1"/>
    <col min="3" max="3" width="17.109375" bestFit="1" customWidth="1"/>
    <col min="4" max="4" width="14.77734375" bestFit="1" customWidth="1"/>
    <col min="5" max="5" width="1.77734375" customWidth="1"/>
    <col min="6" max="6" width="11.109375" customWidth="1"/>
    <col min="7" max="7" width="17.44140625" bestFit="1" customWidth="1"/>
    <col min="8" max="8" width="17.109375" bestFit="1" customWidth="1"/>
    <col min="9" max="9" width="10.33203125" bestFit="1" customWidth="1"/>
    <col min="10" max="10" width="7.33203125" bestFit="1" customWidth="1"/>
    <col min="11" max="11" width="14" bestFit="1" customWidth="1"/>
    <col min="12" max="12" width="1.77734375" customWidth="1"/>
    <col min="13" max="13" width="13.33203125" bestFit="1" customWidth="1"/>
    <col min="14" max="14" width="19.109375" bestFit="1" customWidth="1"/>
    <col min="15" max="15" width="17.109375" bestFit="1" customWidth="1"/>
    <col min="16" max="16" width="9.5546875" bestFit="1" customWidth="1"/>
    <col min="17" max="17" width="13.88671875" style="25" bestFit="1" customWidth="1"/>
    <col min="18" max="18" width="15" style="25" bestFit="1" customWidth="1"/>
    <col min="19" max="19" width="1.77734375" customWidth="1"/>
    <col min="20" max="20" width="11.109375" bestFit="1" customWidth="1"/>
    <col min="21" max="21" width="20.6640625" bestFit="1" customWidth="1"/>
    <col min="22" max="22" width="17.109375" bestFit="1" customWidth="1"/>
    <col min="23" max="23" width="14.6640625" bestFit="1" customWidth="1"/>
    <col min="24" max="24" width="4.88671875" bestFit="1" customWidth="1"/>
    <col min="25" max="25" width="1.77734375" customWidth="1"/>
    <col min="26" max="26" width="11.109375" bestFit="1" customWidth="1"/>
    <col min="27" max="27" width="20.6640625" bestFit="1" customWidth="1"/>
    <col min="28" max="28" width="17.109375" bestFit="1" customWidth="1"/>
    <col min="29" max="29" width="14.6640625" bestFit="1" customWidth="1"/>
    <col min="30" max="30" width="17.21875" bestFit="1" customWidth="1"/>
    <col min="31" max="31" width="1.77734375" customWidth="1"/>
    <col min="32" max="32" width="6.44140625" bestFit="1" customWidth="1"/>
    <col min="33" max="33" width="13.33203125" bestFit="1" customWidth="1"/>
    <col min="34" max="34" width="12.6640625" bestFit="1" customWidth="1"/>
    <col min="35" max="35" width="4.44140625" bestFit="1" customWidth="1"/>
    <col min="36" max="36" width="4.77734375" bestFit="1" customWidth="1"/>
    <col min="37" max="37" width="11.109375" bestFit="1" customWidth="1"/>
  </cols>
  <sheetData>
    <row r="1" spans="1:37" x14ac:dyDescent="0.3">
      <c r="A1" s="15" t="s">
        <v>387</v>
      </c>
      <c r="B1" t="s">
        <v>403</v>
      </c>
      <c r="F1" s="15" t="s">
        <v>380</v>
      </c>
      <c r="G1" s="63">
        <v>46270</v>
      </c>
      <c r="K1" t="s">
        <v>404</v>
      </c>
      <c r="M1" s="15" t="s">
        <v>380</v>
      </c>
      <c r="N1" t="s">
        <v>405</v>
      </c>
      <c r="S1" t="s">
        <v>404</v>
      </c>
      <c r="T1" s="15" t="s">
        <v>380</v>
      </c>
      <c r="U1" t="s">
        <v>405</v>
      </c>
      <c r="Z1" s="15" t="s">
        <v>380</v>
      </c>
      <c r="AA1" t="s">
        <v>403</v>
      </c>
    </row>
    <row r="2" spans="1:37" x14ac:dyDescent="0.3">
      <c r="A2" s="329" t="s">
        <v>406</v>
      </c>
      <c r="B2" s="329"/>
      <c r="C2" s="329"/>
      <c r="D2" s="329"/>
      <c r="F2" s="329" t="s">
        <v>407</v>
      </c>
      <c r="G2" s="329"/>
      <c r="H2" s="329"/>
      <c r="I2" s="329"/>
      <c r="J2" s="329"/>
      <c r="K2" s="329"/>
      <c r="M2" s="15" t="s">
        <v>384</v>
      </c>
      <c r="N2" t="s">
        <v>403</v>
      </c>
      <c r="T2" s="329" t="s">
        <v>408</v>
      </c>
      <c r="U2" s="329"/>
      <c r="V2" s="329"/>
      <c r="W2" s="329"/>
      <c r="X2" s="42"/>
      <c r="Z2" s="329" t="s">
        <v>478</v>
      </c>
      <c r="AA2" s="329"/>
      <c r="AB2" s="329"/>
      <c r="AC2" s="329"/>
      <c r="AD2" s="329"/>
      <c r="AF2" s="330" t="s">
        <v>457</v>
      </c>
      <c r="AG2" s="330"/>
      <c r="AH2" s="330"/>
      <c r="AI2" s="330"/>
      <c r="AJ2" s="330"/>
      <c r="AK2" s="330"/>
    </row>
    <row r="3" spans="1:37" x14ac:dyDescent="0.3">
      <c r="A3" s="15" t="s">
        <v>2</v>
      </c>
      <c r="B3" s="15" t="s">
        <v>3</v>
      </c>
      <c r="C3" s="15" t="s">
        <v>4</v>
      </c>
      <c r="D3" t="s">
        <v>409</v>
      </c>
      <c r="F3" s="15" t="s">
        <v>2</v>
      </c>
      <c r="G3" s="15" t="s">
        <v>3</v>
      </c>
      <c r="H3" s="15" t="s">
        <v>4</v>
      </c>
      <c r="I3" s="15" t="s">
        <v>382</v>
      </c>
      <c r="J3" s="15" t="s">
        <v>383</v>
      </c>
      <c r="K3" t="s">
        <v>475</v>
      </c>
      <c r="M3" s="329" t="s">
        <v>411</v>
      </c>
      <c r="N3" s="329"/>
      <c r="O3" s="329"/>
      <c r="P3" s="329"/>
      <c r="Q3" s="329"/>
      <c r="R3" s="329"/>
      <c r="T3" s="15" t="s">
        <v>2</v>
      </c>
      <c r="U3" s="15" t="s">
        <v>3</v>
      </c>
      <c r="V3" s="15" t="s">
        <v>4</v>
      </c>
      <c r="W3" t="s">
        <v>410</v>
      </c>
      <c r="X3" t="s">
        <v>472</v>
      </c>
      <c r="Z3" s="15" t="s">
        <v>2</v>
      </c>
      <c r="AA3" s="15" t="s">
        <v>3</v>
      </c>
      <c r="AB3" s="15" t="s">
        <v>4</v>
      </c>
      <c r="AC3" t="s">
        <v>410</v>
      </c>
      <c r="AD3" t="s">
        <v>479</v>
      </c>
      <c r="AF3" s="66" t="s">
        <v>2</v>
      </c>
      <c r="AG3" s="66" t="s">
        <v>3</v>
      </c>
      <c r="AH3" s="66" t="s">
        <v>4</v>
      </c>
      <c r="AI3" s="33" t="s">
        <v>454</v>
      </c>
      <c r="AJ3" s="33" t="s">
        <v>456</v>
      </c>
      <c r="AK3" s="33" t="s">
        <v>455</v>
      </c>
    </row>
    <row r="4" spans="1:37" x14ac:dyDescent="0.3">
      <c r="A4">
        <v>15107</v>
      </c>
      <c r="B4" t="s">
        <v>153</v>
      </c>
      <c r="C4" t="s">
        <v>154</v>
      </c>
      <c r="D4" s="17">
        <v>1590000</v>
      </c>
      <c r="F4">
        <v>28433</v>
      </c>
      <c r="G4" t="s">
        <v>353</v>
      </c>
      <c r="H4" t="s">
        <v>354</v>
      </c>
      <c r="I4">
        <v>93</v>
      </c>
      <c r="J4">
        <v>68</v>
      </c>
      <c r="K4" s="40">
        <v>200</v>
      </c>
      <c r="L4" s="40"/>
      <c r="M4" s="15" t="s">
        <v>2</v>
      </c>
      <c r="N4" s="15" t="s">
        <v>3</v>
      </c>
      <c r="O4" s="15" t="s">
        <v>4</v>
      </c>
      <c r="P4" t="s">
        <v>412</v>
      </c>
      <c r="Q4" s="26" t="s">
        <v>385</v>
      </c>
      <c r="R4" s="27" t="s">
        <v>413</v>
      </c>
      <c r="T4">
        <v>30087</v>
      </c>
      <c r="U4" t="s">
        <v>149</v>
      </c>
      <c r="V4" t="s">
        <v>150</v>
      </c>
      <c r="W4" s="40">
        <v>2415</v>
      </c>
      <c r="X4" s="40">
        <v>22</v>
      </c>
      <c r="Z4">
        <v>28433</v>
      </c>
      <c r="AA4" t="s">
        <v>353</v>
      </c>
      <c r="AB4" t="s">
        <v>354</v>
      </c>
      <c r="AC4" s="40">
        <v>380</v>
      </c>
      <c r="AD4" s="40">
        <v>2</v>
      </c>
      <c r="AF4" s="67">
        <v>24140</v>
      </c>
      <c r="AG4" s="68" t="s">
        <v>363</v>
      </c>
      <c r="AH4" s="69" t="s">
        <v>119</v>
      </c>
      <c r="AI4">
        <v>285</v>
      </c>
      <c r="AJ4">
        <v>4</v>
      </c>
      <c r="AK4" t="s">
        <v>388</v>
      </c>
    </row>
    <row r="5" spans="1:37" x14ac:dyDescent="0.3">
      <c r="A5">
        <v>16260</v>
      </c>
      <c r="B5" t="s">
        <v>270</v>
      </c>
      <c r="C5" t="s">
        <v>271</v>
      </c>
      <c r="D5" s="17">
        <v>2050000</v>
      </c>
      <c r="F5">
        <v>21865</v>
      </c>
      <c r="G5" t="s">
        <v>107</v>
      </c>
      <c r="H5" t="s">
        <v>108</v>
      </c>
      <c r="I5">
        <v>86</v>
      </c>
      <c r="J5">
        <v>70</v>
      </c>
      <c r="K5" s="40">
        <v>190</v>
      </c>
      <c r="L5" s="40"/>
      <c r="M5">
        <v>15107</v>
      </c>
      <c r="N5" t="s">
        <v>153</v>
      </c>
      <c r="O5" t="s">
        <v>154</v>
      </c>
      <c r="P5" s="40">
        <v>14</v>
      </c>
      <c r="Q5" s="25">
        <f>+P5/4</f>
        <v>3.5</v>
      </c>
      <c r="T5">
        <v>15107</v>
      </c>
      <c r="U5" t="s">
        <v>153</v>
      </c>
      <c r="V5" t="s">
        <v>154</v>
      </c>
      <c r="W5" s="40">
        <v>2415</v>
      </c>
      <c r="X5" s="40">
        <v>25</v>
      </c>
      <c r="Z5">
        <v>21865</v>
      </c>
      <c r="AA5" t="s">
        <v>107</v>
      </c>
      <c r="AB5" t="s">
        <v>108</v>
      </c>
      <c r="AC5" s="40">
        <v>380</v>
      </c>
      <c r="AD5" s="40">
        <v>2</v>
      </c>
      <c r="AF5" s="67">
        <v>15107</v>
      </c>
      <c r="AG5" s="68" t="s">
        <v>153</v>
      </c>
      <c r="AH5" s="69" t="s">
        <v>154</v>
      </c>
      <c r="AI5">
        <v>265</v>
      </c>
      <c r="AJ5">
        <v>4</v>
      </c>
      <c r="AK5" t="s">
        <v>389</v>
      </c>
    </row>
    <row r="6" spans="1:37" x14ac:dyDescent="0.3">
      <c r="A6">
        <v>18908</v>
      </c>
      <c r="B6" t="s">
        <v>190</v>
      </c>
      <c r="C6" t="s">
        <v>88</v>
      </c>
      <c r="D6" s="17">
        <v>280000</v>
      </c>
      <c r="F6">
        <v>30087</v>
      </c>
      <c r="G6" t="s">
        <v>149</v>
      </c>
      <c r="H6" t="s">
        <v>150</v>
      </c>
      <c r="I6">
        <v>82</v>
      </c>
      <c r="J6">
        <v>71</v>
      </c>
      <c r="K6" s="40">
        <v>180</v>
      </c>
      <c r="L6" s="40"/>
      <c r="M6">
        <v>14084</v>
      </c>
      <c r="N6" t="s">
        <v>39</v>
      </c>
      <c r="O6" t="s">
        <v>40</v>
      </c>
      <c r="P6" s="40">
        <v>14</v>
      </c>
      <c r="Q6" s="25">
        <f t="shared" ref="Q6:Q25" si="0">+P6/4</f>
        <v>3.5</v>
      </c>
      <c r="R6" s="25">
        <v>2</v>
      </c>
      <c r="T6">
        <v>21865</v>
      </c>
      <c r="U6" t="s">
        <v>107</v>
      </c>
      <c r="V6" t="s">
        <v>108</v>
      </c>
      <c r="W6" s="40">
        <v>2340</v>
      </c>
      <c r="X6" s="40">
        <v>24</v>
      </c>
      <c r="Z6">
        <v>24140</v>
      </c>
      <c r="AA6" t="s">
        <v>363</v>
      </c>
      <c r="AB6" t="s">
        <v>119</v>
      </c>
      <c r="AC6" s="40">
        <v>360</v>
      </c>
      <c r="AD6" s="40">
        <v>2</v>
      </c>
      <c r="AF6" s="30">
        <v>21865</v>
      </c>
      <c r="AG6" s="31" t="s">
        <v>107</v>
      </c>
      <c r="AH6" t="s">
        <v>108</v>
      </c>
      <c r="AI6" s="40">
        <v>315</v>
      </c>
      <c r="AJ6">
        <v>4</v>
      </c>
      <c r="AK6" t="s">
        <v>480</v>
      </c>
    </row>
    <row r="7" spans="1:37" x14ac:dyDescent="0.3">
      <c r="A7">
        <v>28225</v>
      </c>
      <c r="B7" t="s">
        <v>222</v>
      </c>
      <c r="C7" t="s">
        <v>233</v>
      </c>
      <c r="D7" s="17">
        <v>570000</v>
      </c>
      <c r="F7">
        <v>24140</v>
      </c>
      <c r="G7" t="s">
        <v>363</v>
      </c>
      <c r="H7" t="s">
        <v>119</v>
      </c>
      <c r="I7">
        <v>98</v>
      </c>
      <c r="J7">
        <v>71</v>
      </c>
      <c r="K7" s="40">
        <v>180</v>
      </c>
      <c r="L7" s="40"/>
      <c r="M7">
        <v>21865</v>
      </c>
      <c r="N7" t="s">
        <v>107</v>
      </c>
      <c r="O7" t="s">
        <v>108</v>
      </c>
      <c r="P7" s="40">
        <v>10</v>
      </c>
      <c r="Q7" s="25">
        <f t="shared" si="0"/>
        <v>2.5</v>
      </c>
      <c r="T7">
        <v>28433</v>
      </c>
      <c r="U7" t="s">
        <v>353</v>
      </c>
      <c r="V7" t="s">
        <v>354</v>
      </c>
      <c r="W7" s="40">
        <v>2255</v>
      </c>
      <c r="X7" s="40">
        <v>22</v>
      </c>
      <c r="Z7">
        <v>16260</v>
      </c>
      <c r="AA7" t="s">
        <v>270</v>
      </c>
      <c r="AB7" t="s">
        <v>271</v>
      </c>
      <c r="AC7" s="40">
        <v>360</v>
      </c>
      <c r="AD7" s="40">
        <v>2</v>
      </c>
      <c r="AF7" s="30">
        <v>28225</v>
      </c>
      <c r="AG7" s="31" t="s">
        <v>222</v>
      </c>
      <c r="AH7" t="s">
        <v>233</v>
      </c>
      <c r="AI7" s="40">
        <v>315</v>
      </c>
      <c r="AJ7">
        <v>4</v>
      </c>
      <c r="AK7" t="s">
        <v>522</v>
      </c>
    </row>
    <row r="8" spans="1:37" x14ac:dyDescent="0.3">
      <c r="A8" t="s">
        <v>414</v>
      </c>
      <c r="D8" s="17">
        <v>4490000</v>
      </c>
      <c r="F8">
        <v>30572</v>
      </c>
      <c r="G8" t="s">
        <v>225</v>
      </c>
      <c r="H8" t="s">
        <v>226</v>
      </c>
      <c r="I8">
        <v>95</v>
      </c>
      <c r="J8">
        <v>75</v>
      </c>
      <c r="K8" s="40">
        <v>170</v>
      </c>
      <c r="L8" s="40"/>
      <c r="M8">
        <v>30087</v>
      </c>
      <c r="N8" t="s">
        <v>149</v>
      </c>
      <c r="O8" t="s">
        <v>150</v>
      </c>
      <c r="P8" s="40">
        <v>9</v>
      </c>
      <c r="Q8" s="25">
        <f t="shared" si="0"/>
        <v>2.25</v>
      </c>
      <c r="T8">
        <v>30572</v>
      </c>
      <c r="U8" t="s">
        <v>225</v>
      </c>
      <c r="V8" t="s">
        <v>226</v>
      </c>
      <c r="W8" s="40">
        <v>2210</v>
      </c>
      <c r="X8" s="40">
        <v>21</v>
      </c>
      <c r="Z8">
        <v>30087</v>
      </c>
      <c r="AA8" t="s">
        <v>149</v>
      </c>
      <c r="AB8" t="s">
        <v>150</v>
      </c>
      <c r="AC8" s="40">
        <v>330</v>
      </c>
      <c r="AD8" s="40">
        <v>2</v>
      </c>
      <c r="AF8" s="30">
        <v>27435</v>
      </c>
      <c r="AG8" s="31" t="s">
        <v>151</v>
      </c>
      <c r="AH8" t="s">
        <v>152</v>
      </c>
      <c r="AI8" s="40">
        <v>360</v>
      </c>
      <c r="AJ8">
        <v>2</v>
      </c>
      <c r="AK8" t="s">
        <v>540</v>
      </c>
    </row>
    <row r="9" spans="1:37" x14ac:dyDescent="0.3">
      <c r="F9">
        <v>12724</v>
      </c>
      <c r="G9" t="s">
        <v>460</v>
      </c>
      <c r="H9" t="s">
        <v>246</v>
      </c>
      <c r="I9">
        <v>89</v>
      </c>
      <c r="J9">
        <v>78</v>
      </c>
      <c r="K9" s="40">
        <v>160</v>
      </c>
      <c r="L9" s="40"/>
      <c r="M9">
        <v>28433</v>
      </c>
      <c r="N9" t="s">
        <v>353</v>
      </c>
      <c r="O9" t="s">
        <v>354</v>
      </c>
      <c r="P9" s="40">
        <v>8</v>
      </c>
      <c r="Q9" s="25">
        <f t="shared" si="0"/>
        <v>2</v>
      </c>
      <c r="T9">
        <v>18908</v>
      </c>
      <c r="U9" t="s">
        <v>190</v>
      </c>
      <c r="V9" t="s">
        <v>88</v>
      </c>
      <c r="W9" s="40">
        <v>2150</v>
      </c>
      <c r="X9" s="40">
        <v>20</v>
      </c>
      <c r="Z9">
        <v>30572</v>
      </c>
      <c r="AA9" t="s">
        <v>225</v>
      </c>
      <c r="AB9" t="s">
        <v>226</v>
      </c>
      <c r="AC9" s="40">
        <v>330</v>
      </c>
      <c r="AD9" s="40">
        <v>2</v>
      </c>
      <c r="AF9" s="30">
        <v>15107</v>
      </c>
      <c r="AG9" s="31" t="s">
        <v>153</v>
      </c>
      <c r="AH9" t="s">
        <v>154</v>
      </c>
      <c r="AI9" s="40">
        <v>680</v>
      </c>
      <c r="AJ9">
        <v>4</v>
      </c>
      <c r="AK9" t="s">
        <v>569</v>
      </c>
    </row>
    <row r="10" spans="1:37" x14ac:dyDescent="0.3">
      <c r="F10">
        <v>16260</v>
      </c>
      <c r="G10" t="s">
        <v>270</v>
      </c>
      <c r="H10" t="s">
        <v>271</v>
      </c>
      <c r="I10">
        <v>94</v>
      </c>
      <c r="J10">
        <v>78</v>
      </c>
      <c r="K10" s="40">
        <v>160</v>
      </c>
      <c r="L10" s="40"/>
      <c r="M10">
        <v>16260</v>
      </c>
      <c r="N10" t="s">
        <v>270</v>
      </c>
      <c r="O10" t="s">
        <v>271</v>
      </c>
      <c r="P10" s="40">
        <v>6</v>
      </c>
      <c r="Q10" s="25">
        <f t="shared" si="0"/>
        <v>1.5</v>
      </c>
      <c r="T10">
        <v>12724</v>
      </c>
      <c r="U10" t="s">
        <v>460</v>
      </c>
      <c r="V10" t="s">
        <v>246</v>
      </c>
      <c r="W10" s="40">
        <v>2100</v>
      </c>
      <c r="X10" s="40">
        <v>22</v>
      </c>
      <c r="Z10">
        <v>15107</v>
      </c>
      <c r="AA10" t="s">
        <v>153</v>
      </c>
      <c r="AB10" t="s">
        <v>154</v>
      </c>
      <c r="AC10" s="40">
        <v>320</v>
      </c>
      <c r="AD10" s="40">
        <v>2</v>
      </c>
    </row>
    <row r="11" spans="1:37" x14ac:dyDescent="0.3">
      <c r="A11" s="15" t="s">
        <v>385</v>
      </c>
      <c r="B11" t="s">
        <v>403</v>
      </c>
      <c r="F11">
        <v>15107</v>
      </c>
      <c r="G11" t="s">
        <v>153</v>
      </c>
      <c r="H11" t="s">
        <v>154</v>
      </c>
      <c r="I11">
        <v>96</v>
      </c>
      <c r="J11">
        <v>80</v>
      </c>
      <c r="K11" s="40">
        <v>150</v>
      </c>
      <c r="L11" s="40"/>
      <c r="M11">
        <v>18411</v>
      </c>
      <c r="N11" t="s">
        <v>28</v>
      </c>
      <c r="O11" t="s">
        <v>29</v>
      </c>
      <c r="P11" s="40">
        <v>5</v>
      </c>
      <c r="Q11" s="25">
        <f t="shared" si="0"/>
        <v>1.25</v>
      </c>
      <c r="T11">
        <v>24283</v>
      </c>
      <c r="U11" t="s">
        <v>287</v>
      </c>
      <c r="V11" t="s">
        <v>288</v>
      </c>
      <c r="W11" s="40">
        <v>1970</v>
      </c>
      <c r="X11" s="40">
        <v>20</v>
      </c>
      <c r="Z11">
        <v>12724</v>
      </c>
      <c r="AA11" t="s">
        <v>460</v>
      </c>
      <c r="AB11" t="s">
        <v>246</v>
      </c>
      <c r="AC11" s="40">
        <v>300</v>
      </c>
      <c r="AD11" s="40">
        <v>2</v>
      </c>
    </row>
    <row r="12" spans="1:37" x14ac:dyDescent="0.3">
      <c r="A12" s="329" t="s">
        <v>415</v>
      </c>
      <c r="B12" s="329"/>
      <c r="C12" s="329"/>
      <c r="D12" s="329"/>
      <c r="F12" t="s">
        <v>414</v>
      </c>
      <c r="K12" s="40">
        <v>1390</v>
      </c>
      <c r="L12" s="40"/>
      <c r="M12">
        <v>28225</v>
      </c>
      <c r="N12" t="s">
        <v>222</v>
      </c>
      <c r="O12" t="s">
        <v>233</v>
      </c>
      <c r="P12" s="40">
        <v>5</v>
      </c>
      <c r="Q12" s="25">
        <f t="shared" si="0"/>
        <v>1.25</v>
      </c>
      <c r="T12">
        <v>7891</v>
      </c>
      <c r="U12" t="s">
        <v>220</v>
      </c>
      <c r="V12" t="s">
        <v>221</v>
      </c>
      <c r="W12" s="40">
        <v>1830</v>
      </c>
      <c r="X12" s="40">
        <v>18</v>
      </c>
      <c r="Z12">
        <v>18908</v>
      </c>
      <c r="AA12" t="s">
        <v>190</v>
      </c>
      <c r="AB12" t="s">
        <v>88</v>
      </c>
      <c r="AC12" s="40">
        <v>190</v>
      </c>
      <c r="AD12" s="40">
        <v>1</v>
      </c>
    </row>
    <row r="13" spans="1:37" x14ac:dyDescent="0.3">
      <c r="A13" s="15" t="s">
        <v>2</v>
      </c>
      <c r="B13" s="15" t="s">
        <v>3</v>
      </c>
      <c r="C13" s="15" t="s">
        <v>4</v>
      </c>
      <c r="D13" t="s">
        <v>416</v>
      </c>
      <c r="L13" s="40"/>
      <c r="M13">
        <v>8473</v>
      </c>
      <c r="N13" t="s">
        <v>58</v>
      </c>
      <c r="O13" t="s">
        <v>59</v>
      </c>
      <c r="P13" s="40">
        <v>5</v>
      </c>
      <c r="Q13" s="25">
        <f t="shared" si="0"/>
        <v>1.25</v>
      </c>
      <c r="T13">
        <v>16260</v>
      </c>
      <c r="U13" t="s">
        <v>270</v>
      </c>
      <c r="V13" t="s">
        <v>271</v>
      </c>
      <c r="W13" s="40">
        <v>1750</v>
      </c>
      <c r="X13" s="40">
        <v>15</v>
      </c>
      <c r="Z13">
        <v>3936</v>
      </c>
      <c r="AA13" t="s">
        <v>462</v>
      </c>
      <c r="AB13" t="s">
        <v>570</v>
      </c>
      <c r="AC13" s="40">
        <v>190</v>
      </c>
      <c r="AD13" s="40">
        <v>1</v>
      </c>
    </row>
    <row r="14" spans="1:37" x14ac:dyDescent="0.3">
      <c r="A14">
        <v>18908</v>
      </c>
      <c r="B14" t="s">
        <v>190</v>
      </c>
      <c r="C14" t="s">
        <v>88</v>
      </c>
      <c r="D14" s="17">
        <v>1492000</v>
      </c>
      <c r="L14" s="40"/>
      <c r="M14">
        <v>18908</v>
      </c>
      <c r="N14" t="s">
        <v>190</v>
      </c>
      <c r="O14" t="s">
        <v>88</v>
      </c>
      <c r="P14" s="40">
        <v>4</v>
      </c>
      <c r="Q14" s="25">
        <f t="shared" si="0"/>
        <v>1</v>
      </c>
      <c r="T14">
        <v>24140</v>
      </c>
      <c r="U14" t="s">
        <v>363</v>
      </c>
      <c r="V14" t="s">
        <v>119</v>
      </c>
      <c r="W14" s="40">
        <v>1745</v>
      </c>
      <c r="X14" s="40">
        <v>19</v>
      </c>
      <c r="Z14">
        <v>32142</v>
      </c>
      <c r="AA14" t="s">
        <v>47</v>
      </c>
      <c r="AB14" t="s">
        <v>48</v>
      </c>
      <c r="AC14" s="40">
        <v>170</v>
      </c>
      <c r="AD14" s="40">
        <v>1</v>
      </c>
    </row>
    <row r="15" spans="1:37" x14ac:dyDescent="0.3">
      <c r="A15">
        <v>30087</v>
      </c>
      <c r="B15" t="s">
        <v>149</v>
      </c>
      <c r="C15" t="s">
        <v>150</v>
      </c>
      <c r="D15" s="17">
        <v>1410000</v>
      </c>
      <c r="L15" s="40"/>
      <c r="M15">
        <v>4080</v>
      </c>
      <c r="N15" t="s">
        <v>191</v>
      </c>
      <c r="O15" t="s">
        <v>106</v>
      </c>
      <c r="P15" s="40">
        <v>3</v>
      </c>
      <c r="Q15" s="25">
        <f t="shared" si="0"/>
        <v>0.75</v>
      </c>
      <c r="T15">
        <v>28225</v>
      </c>
      <c r="U15" t="s">
        <v>222</v>
      </c>
      <c r="V15" t="s">
        <v>233</v>
      </c>
      <c r="W15" s="40">
        <v>1640</v>
      </c>
      <c r="X15" s="40">
        <v>17</v>
      </c>
      <c r="Z15">
        <v>33116</v>
      </c>
      <c r="AA15" t="s">
        <v>195</v>
      </c>
      <c r="AB15" t="s">
        <v>196</v>
      </c>
      <c r="AC15" s="40">
        <v>160</v>
      </c>
      <c r="AD15" s="40">
        <v>1</v>
      </c>
    </row>
    <row r="16" spans="1:37" x14ac:dyDescent="0.3">
      <c r="A16">
        <v>15107</v>
      </c>
      <c r="B16" t="s">
        <v>153</v>
      </c>
      <c r="C16" t="s">
        <v>154</v>
      </c>
      <c r="D16" s="17">
        <v>1342000</v>
      </c>
      <c r="L16" s="40"/>
      <c r="M16">
        <v>27435</v>
      </c>
      <c r="N16" t="s">
        <v>151</v>
      </c>
      <c r="O16" t="s">
        <v>152</v>
      </c>
      <c r="P16" s="40">
        <v>2</v>
      </c>
      <c r="Q16" s="25">
        <f t="shared" si="0"/>
        <v>0.5</v>
      </c>
      <c r="T16">
        <v>4080</v>
      </c>
      <c r="U16" t="s">
        <v>191</v>
      </c>
      <c r="V16" t="s">
        <v>106</v>
      </c>
      <c r="W16" s="40">
        <v>1570</v>
      </c>
      <c r="X16" s="40">
        <v>18</v>
      </c>
      <c r="Z16">
        <v>20941</v>
      </c>
      <c r="AA16" t="s">
        <v>319</v>
      </c>
      <c r="AB16" t="s">
        <v>320</v>
      </c>
      <c r="AC16" s="40">
        <v>160</v>
      </c>
      <c r="AD16" s="40">
        <v>1</v>
      </c>
    </row>
    <row r="17" spans="1:30" x14ac:dyDescent="0.3">
      <c r="A17">
        <v>13625</v>
      </c>
      <c r="B17" t="s">
        <v>222</v>
      </c>
      <c r="C17" t="s">
        <v>223</v>
      </c>
      <c r="D17" s="17">
        <v>1237000</v>
      </c>
      <c r="L17" s="40"/>
      <c r="M17">
        <v>19187</v>
      </c>
      <c r="N17" t="s">
        <v>328</v>
      </c>
      <c r="O17" t="s">
        <v>200</v>
      </c>
      <c r="P17" s="40">
        <v>2</v>
      </c>
      <c r="Q17" s="25">
        <f t="shared" si="0"/>
        <v>0.5</v>
      </c>
      <c r="T17">
        <v>16552</v>
      </c>
      <c r="U17" t="s">
        <v>272</v>
      </c>
      <c r="V17" t="s">
        <v>273</v>
      </c>
      <c r="W17" s="40">
        <v>1475</v>
      </c>
      <c r="X17" s="40">
        <v>18</v>
      </c>
      <c r="Z17">
        <v>27233</v>
      </c>
      <c r="AA17" t="s">
        <v>193</v>
      </c>
      <c r="AB17" t="s">
        <v>194</v>
      </c>
      <c r="AC17" s="40">
        <v>130</v>
      </c>
      <c r="AD17" s="40">
        <v>1</v>
      </c>
    </row>
    <row r="18" spans="1:30" x14ac:dyDescent="0.3">
      <c r="A18">
        <v>16260</v>
      </c>
      <c r="B18" t="s">
        <v>270</v>
      </c>
      <c r="C18" t="s">
        <v>271</v>
      </c>
      <c r="D18" s="17">
        <v>1020000</v>
      </c>
      <c r="L18" s="40"/>
      <c r="M18">
        <v>31818</v>
      </c>
      <c r="N18" t="s">
        <v>235</v>
      </c>
      <c r="O18" t="s">
        <v>236</v>
      </c>
      <c r="P18" s="40">
        <v>2</v>
      </c>
      <c r="Q18" s="25">
        <f t="shared" si="0"/>
        <v>0.5</v>
      </c>
      <c r="T18">
        <v>22156</v>
      </c>
      <c r="U18" t="s">
        <v>231</v>
      </c>
      <c r="V18" t="s">
        <v>232</v>
      </c>
      <c r="W18" s="40">
        <v>1360</v>
      </c>
      <c r="X18" s="40">
        <v>18</v>
      </c>
      <c r="Z18">
        <v>24283</v>
      </c>
      <c r="AA18" t="s">
        <v>287</v>
      </c>
      <c r="AB18" t="s">
        <v>288</v>
      </c>
      <c r="AC18" s="40">
        <v>120</v>
      </c>
      <c r="AD18" s="40">
        <v>1</v>
      </c>
    </row>
    <row r="19" spans="1:30" x14ac:dyDescent="0.3">
      <c r="A19">
        <v>28225</v>
      </c>
      <c r="B19" t="s">
        <v>222</v>
      </c>
      <c r="C19" t="s">
        <v>233</v>
      </c>
      <c r="D19" s="17">
        <v>750000</v>
      </c>
      <c r="L19" s="40"/>
      <c r="M19">
        <v>24283</v>
      </c>
      <c r="N19" t="s">
        <v>287</v>
      </c>
      <c r="O19" t="s">
        <v>288</v>
      </c>
      <c r="P19" s="40">
        <v>2</v>
      </c>
      <c r="Q19" s="25">
        <f t="shared" si="0"/>
        <v>0.5</v>
      </c>
      <c r="T19">
        <v>13625</v>
      </c>
      <c r="U19" t="s">
        <v>222</v>
      </c>
      <c r="V19" t="s">
        <v>223</v>
      </c>
      <c r="W19" s="40">
        <v>1240</v>
      </c>
      <c r="X19" s="40">
        <v>10</v>
      </c>
      <c r="Z19">
        <v>22156</v>
      </c>
      <c r="AA19" t="s">
        <v>231</v>
      </c>
      <c r="AB19" t="s">
        <v>232</v>
      </c>
      <c r="AC19" s="40">
        <v>110</v>
      </c>
      <c r="AD19" s="40">
        <v>1</v>
      </c>
    </row>
    <row r="20" spans="1:30" x14ac:dyDescent="0.3">
      <c r="A20">
        <v>32142</v>
      </c>
      <c r="B20" t="s">
        <v>47</v>
      </c>
      <c r="C20" t="s">
        <v>48</v>
      </c>
      <c r="D20" s="17">
        <v>715000</v>
      </c>
      <c r="L20" s="40"/>
      <c r="M20">
        <v>9446</v>
      </c>
      <c r="N20" t="s">
        <v>285</v>
      </c>
      <c r="O20" t="s">
        <v>286</v>
      </c>
      <c r="P20" s="40">
        <v>2</v>
      </c>
      <c r="Q20" s="25">
        <f t="shared" si="0"/>
        <v>0.5</v>
      </c>
      <c r="T20">
        <v>18411</v>
      </c>
      <c r="U20" t="s">
        <v>28</v>
      </c>
      <c r="V20" t="s">
        <v>29</v>
      </c>
      <c r="W20" s="40">
        <v>1235</v>
      </c>
      <c r="X20" s="40">
        <v>14</v>
      </c>
      <c r="Z20" t="s">
        <v>414</v>
      </c>
      <c r="AC20" s="40">
        <v>3990</v>
      </c>
      <c r="AD20" s="40">
        <v>24</v>
      </c>
    </row>
    <row r="21" spans="1:30" x14ac:dyDescent="0.3">
      <c r="A21">
        <v>24140</v>
      </c>
      <c r="B21" t="s">
        <v>363</v>
      </c>
      <c r="C21" t="s">
        <v>119</v>
      </c>
      <c r="D21" s="17">
        <v>685000</v>
      </c>
      <c r="L21" s="40"/>
      <c r="M21">
        <v>26953</v>
      </c>
      <c r="N21" t="s">
        <v>120</v>
      </c>
      <c r="O21" t="s">
        <v>121</v>
      </c>
      <c r="P21" s="40">
        <v>2</v>
      </c>
      <c r="Q21" s="25">
        <f t="shared" si="0"/>
        <v>0.5</v>
      </c>
      <c r="T21">
        <v>27233</v>
      </c>
      <c r="U21" t="s">
        <v>193</v>
      </c>
      <c r="V21" t="s">
        <v>194</v>
      </c>
      <c r="W21" s="40">
        <v>1150</v>
      </c>
      <c r="X21" s="40">
        <v>15</v>
      </c>
    </row>
    <row r="22" spans="1:30" x14ac:dyDescent="0.3">
      <c r="A22">
        <v>12724</v>
      </c>
      <c r="B22" t="s">
        <v>460</v>
      </c>
      <c r="C22" t="s">
        <v>246</v>
      </c>
      <c r="D22" s="17">
        <v>650000</v>
      </c>
      <c r="L22" s="40"/>
      <c r="M22">
        <v>32142</v>
      </c>
      <c r="N22" t="s">
        <v>47</v>
      </c>
      <c r="O22" t="s">
        <v>48</v>
      </c>
      <c r="P22" s="40">
        <v>2</v>
      </c>
      <c r="Q22" s="25">
        <f t="shared" si="0"/>
        <v>0.5</v>
      </c>
      <c r="T22">
        <v>26953</v>
      </c>
      <c r="U22" t="s">
        <v>120</v>
      </c>
      <c r="V22" t="s">
        <v>121</v>
      </c>
      <c r="W22" s="40">
        <v>1135</v>
      </c>
      <c r="X22" s="40">
        <v>15</v>
      </c>
    </row>
    <row r="23" spans="1:30" x14ac:dyDescent="0.3">
      <c r="A23">
        <v>24283</v>
      </c>
      <c r="B23" t="s">
        <v>287</v>
      </c>
      <c r="C23" t="s">
        <v>288</v>
      </c>
      <c r="D23" s="17">
        <v>635000</v>
      </c>
      <c r="L23" s="40"/>
      <c r="M23">
        <v>18861</v>
      </c>
      <c r="N23" t="s">
        <v>351</v>
      </c>
      <c r="O23" t="s">
        <v>352</v>
      </c>
      <c r="P23" s="40">
        <v>1</v>
      </c>
      <c r="Q23" s="25">
        <f t="shared" si="0"/>
        <v>0.25</v>
      </c>
      <c r="T23">
        <v>9446</v>
      </c>
      <c r="U23" t="s">
        <v>285</v>
      </c>
      <c r="V23" t="s">
        <v>286</v>
      </c>
      <c r="W23" s="40">
        <v>1095</v>
      </c>
      <c r="X23" s="40">
        <v>13</v>
      </c>
    </row>
    <row r="24" spans="1:30" x14ac:dyDescent="0.3">
      <c r="A24">
        <v>21865</v>
      </c>
      <c r="B24" t="s">
        <v>107</v>
      </c>
      <c r="C24" t="s">
        <v>108</v>
      </c>
      <c r="D24" s="17">
        <v>630000</v>
      </c>
      <c r="L24" s="40"/>
      <c r="M24">
        <v>20886</v>
      </c>
      <c r="N24" t="s">
        <v>258</v>
      </c>
      <c r="O24" t="s">
        <v>250</v>
      </c>
      <c r="P24" s="40">
        <v>1</v>
      </c>
      <c r="Q24" s="25">
        <f t="shared" si="0"/>
        <v>0.25</v>
      </c>
      <c r="T24">
        <v>32142</v>
      </c>
      <c r="U24" t="s">
        <v>47</v>
      </c>
      <c r="V24" t="s">
        <v>48</v>
      </c>
      <c r="W24" s="40">
        <v>1005</v>
      </c>
      <c r="X24" s="40">
        <v>11</v>
      </c>
    </row>
    <row r="25" spans="1:30" x14ac:dyDescent="0.3">
      <c r="A25">
        <v>31818</v>
      </c>
      <c r="B25" t="s">
        <v>235</v>
      </c>
      <c r="C25" t="s">
        <v>236</v>
      </c>
      <c r="D25" s="17">
        <v>620000</v>
      </c>
      <c r="L25" s="40"/>
      <c r="M25">
        <v>28528</v>
      </c>
      <c r="N25" t="s">
        <v>173</v>
      </c>
      <c r="O25" t="s">
        <v>174</v>
      </c>
      <c r="P25" s="40">
        <v>1</v>
      </c>
      <c r="Q25" s="25">
        <f t="shared" si="0"/>
        <v>0.25</v>
      </c>
      <c r="T25">
        <v>17043</v>
      </c>
      <c r="U25" t="s">
        <v>118</v>
      </c>
      <c r="V25" t="s">
        <v>119</v>
      </c>
      <c r="W25" s="40">
        <v>980</v>
      </c>
      <c r="X25" s="40">
        <v>15</v>
      </c>
    </row>
    <row r="26" spans="1:30" x14ac:dyDescent="0.3">
      <c r="A26">
        <v>27233</v>
      </c>
      <c r="B26" t="s">
        <v>193</v>
      </c>
      <c r="C26" t="s">
        <v>194</v>
      </c>
      <c r="D26" s="17">
        <v>610000</v>
      </c>
      <c r="L26" s="40"/>
      <c r="M26">
        <v>16552</v>
      </c>
      <c r="N26" t="s">
        <v>272</v>
      </c>
      <c r="O26" t="s">
        <v>273</v>
      </c>
      <c r="P26" s="40">
        <v>1</v>
      </c>
      <c r="T26">
        <v>8473</v>
      </c>
      <c r="U26" t="s">
        <v>58</v>
      </c>
      <c r="V26" t="s">
        <v>59</v>
      </c>
      <c r="W26" s="40">
        <v>975</v>
      </c>
      <c r="X26" s="40">
        <v>15</v>
      </c>
    </row>
    <row r="27" spans="1:30" x14ac:dyDescent="0.3">
      <c r="A27">
        <v>17043</v>
      </c>
      <c r="B27" t="s">
        <v>118</v>
      </c>
      <c r="C27" t="s">
        <v>119</v>
      </c>
      <c r="D27" s="17">
        <v>610000</v>
      </c>
      <c r="L27" s="40"/>
      <c r="M27">
        <v>30101</v>
      </c>
      <c r="N27" t="s">
        <v>341</v>
      </c>
      <c r="O27" t="s">
        <v>342</v>
      </c>
      <c r="P27" s="40">
        <v>1</v>
      </c>
      <c r="T27">
        <v>27435</v>
      </c>
      <c r="U27" t="s">
        <v>151</v>
      </c>
      <c r="V27" t="s">
        <v>152</v>
      </c>
      <c r="W27" s="40">
        <v>910</v>
      </c>
      <c r="X27" s="40">
        <v>9</v>
      </c>
    </row>
    <row r="28" spans="1:30" x14ac:dyDescent="0.3">
      <c r="A28">
        <v>27435</v>
      </c>
      <c r="B28" t="s">
        <v>151</v>
      </c>
      <c r="C28" t="s">
        <v>152</v>
      </c>
      <c r="D28" s="17">
        <v>600000</v>
      </c>
      <c r="L28" s="40"/>
      <c r="M28" t="s">
        <v>414</v>
      </c>
      <c r="P28" s="40">
        <v>102</v>
      </c>
      <c r="T28">
        <v>3936</v>
      </c>
      <c r="U28" t="s">
        <v>462</v>
      </c>
      <c r="V28" t="s">
        <v>570</v>
      </c>
      <c r="W28" s="40">
        <v>190</v>
      </c>
      <c r="X28" s="40">
        <v>1</v>
      </c>
    </row>
    <row r="29" spans="1:30" x14ac:dyDescent="0.3">
      <c r="A29">
        <v>9446</v>
      </c>
      <c r="B29" t="s">
        <v>285</v>
      </c>
      <c r="C29" t="s">
        <v>286</v>
      </c>
      <c r="D29" s="17">
        <v>570000</v>
      </c>
      <c r="L29" s="40"/>
      <c r="V29" t="s">
        <v>463</v>
      </c>
      <c r="W29" s="40">
        <v>695</v>
      </c>
      <c r="X29" s="40">
        <v>9</v>
      </c>
    </row>
    <row r="30" spans="1:30" x14ac:dyDescent="0.3">
      <c r="A30">
        <v>16552</v>
      </c>
      <c r="B30" t="s">
        <v>272</v>
      </c>
      <c r="C30" t="s">
        <v>273</v>
      </c>
      <c r="D30" s="17">
        <v>560000</v>
      </c>
      <c r="L30" s="40"/>
      <c r="T30">
        <v>31818</v>
      </c>
      <c r="U30" t="s">
        <v>235</v>
      </c>
      <c r="V30" t="s">
        <v>236</v>
      </c>
      <c r="W30" s="40">
        <v>835</v>
      </c>
      <c r="X30" s="40">
        <v>8</v>
      </c>
    </row>
    <row r="31" spans="1:30" x14ac:dyDescent="0.3">
      <c r="A31">
        <v>30572</v>
      </c>
      <c r="B31" t="s">
        <v>225</v>
      </c>
      <c r="C31" t="s">
        <v>226</v>
      </c>
      <c r="D31" s="17">
        <v>530000</v>
      </c>
      <c r="L31" s="40"/>
      <c r="T31">
        <v>14084</v>
      </c>
      <c r="U31" t="s">
        <v>39</v>
      </c>
      <c r="V31" t="s">
        <v>40</v>
      </c>
      <c r="W31" s="40">
        <v>715</v>
      </c>
      <c r="X31" s="40">
        <v>8</v>
      </c>
      <c r="Y31" s="32"/>
    </row>
    <row r="32" spans="1:30" x14ac:dyDescent="0.3">
      <c r="A32">
        <v>18411</v>
      </c>
      <c r="B32" t="s">
        <v>28</v>
      </c>
      <c r="C32" t="s">
        <v>29</v>
      </c>
      <c r="D32" s="17">
        <v>500000</v>
      </c>
      <c r="L32" s="40"/>
      <c r="T32">
        <v>20941</v>
      </c>
      <c r="U32" t="s">
        <v>319</v>
      </c>
      <c r="V32" t="s">
        <v>320</v>
      </c>
      <c r="W32" s="40">
        <v>680</v>
      </c>
      <c r="X32" s="40">
        <v>9</v>
      </c>
      <c r="Y32" s="15"/>
    </row>
    <row r="33" spans="1:24" x14ac:dyDescent="0.3">
      <c r="A33">
        <v>19187</v>
      </c>
      <c r="B33" t="s">
        <v>328</v>
      </c>
      <c r="C33" t="s">
        <v>200</v>
      </c>
      <c r="D33" s="17">
        <v>500000</v>
      </c>
      <c r="L33" s="40"/>
      <c r="M33" s="15" t="s">
        <v>380</v>
      </c>
      <c r="N33" t="s">
        <v>405</v>
      </c>
      <c r="T33">
        <v>9530</v>
      </c>
      <c r="U33" t="s">
        <v>461</v>
      </c>
      <c r="V33" t="s">
        <v>284</v>
      </c>
      <c r="W33" s="40">
        <v>675</v>
      </c>
      <c r="X33" s="40">
        <v>8</v>
      </c>
    </row>
    <row r="34" spans="1:24" x14ac:dyDescent="0.3">
      <c r="A34">
        <v>28433</v>
      </c>
      <c r="B34" t="s">
        <v>353</v>
      </c>
      <c r="C34" t="s">
        <v>354</v>
      </c>
      <c r="D34" s="17">
        <v>480000</v>
      </c>
      <c r="L34" s="40"/>
      <c r="M34" s="329" t="s">
        <v>417</v>
      </c>
      <c r="N34" s="329"/>
      <c r="O34" s="329"/>
      <c r="P34" s="329"/>
      <c r="Q34" s="329"/>
      <c r="R34" s="32"/>
      <c r="T34">
        <v>19187</v>
      </c>
      <c r="U34" t="s">
        <v>328</v>
      </c>
      <c r="V34" t="s">
        <v>200</v>
      </c>
      <c r="W34" s="40">
        <v>605</v>
      </c>
      <c r="X34" s="40">
        <v>8</v>
      </c>
    </row>
    <row r="35" spans="1:24" x14ac:dyDescent="0.3">
      <c r="A35">
        <v>4080</v>
      </c>
      <c r="B35" t="s">
        <v>191</v>
      </c>
      <c r="C35" t="s">
        <v>106</v>
      </c>
      <c r="D35" s="17">
        <v>437000</v>
      </c>
      <c r="L35" s="40"/>
      <c r="M35" s="15" t="s">
        <v>2</v>
      </c>
      <c r="N35" s="15" t="s">
        <v>3</v>
      </c>
      <c r="O35" s="15" t="s">
        <v>4</v>
      </c>
      <c r="P35" s="15" t="s">
        <v>418</v>
      </c>
      <c r="Q35" s="28" t="s">
        <v>386</v>
      </c>
      <c r="R35"/>
      <c r="T35">
        <v>1396</v>
      </c>
      <c r="U35" t="s">
        <v>66</v>
      </c>
      <c r="V35" t="s">
        <v>67</v>
      </c>
      <c r="W35" s="40">
        <v>405</v>
      </c>
      <c r="X35" s="40">
        <v>3</v>
      </c>
    </row>
    <row r="36" spans="1:24" x14ac:dyDescent="0.3">
      <c r="A36">
        <v>26953</v>
      </c>
      <c r="B36" t="s">
        <v>120</v>
      </c>
      <c r="C36" t="s">
        <v>121</v>
      </c>
      <c r="D36" s="17">
        <v>410000</v>
      </c>
      <c r="L36" s="40"/>
      <c r="M36" s="29" t="s">
        <v>414</v>
      </c>
      <c r="N36" s="29"/>
      <c r="O36" s="29"/>
      <c r="P36" s="29"/>
      <c r="Q36" s="29"/>
      <c r="R36"/>
      <c r="T36">
        <v>32182</v>
      </c>
      <c r="U36" t="s">
        <v>188</v>
      </c>
      <c r="V36" t="s">
        <v>189</v>
      </c>
      <c r="W36" s="40">
        <v>370</v>
      </c>
      <c r="X36" s="40">
        <v>4</v>
      </c>
    </row>
    <row r="37" spans="1:24" x14ac:dyDescent="0.3">
      <c r="A37">
        <v>7891</v>
      </c>
      <c r="B37" t="s">
        <v>220</v>
      </c>
      <c r="C37" t="s">
        <v>221</v>
      </c>
      <c r="D37" s="17">
        <v>390000</v>
      </c>
      <c r="L37" s="40"/>
      <c r="Q37"/>
      <c r="R37"/>
      <c r="T37">
        <v>33116</v>
      </c>
      <c r="U37" t="s">
        <v>195</v>
      </c>
      <c r="V37" t="s">
        <v>196</v>
      </c>
      <c r="W37" s="40">
        <v>365</v>
      </c>
      <c r="X37" s="40">
        <v>4</v>
      </c>
    </row>
    <row r="38" spans="1:24" x14ac:dyDescent="0.3">
      <c r="A38">
        <v>20941</v>
      </c>
      <c r="B38" t="s">
        <v>319</v>
      </c>
      <c r="C38" t="s">
        <v>320</v>
      </c>
      <c r="D38" s="17">
        <v>380000</v>
      </c>
      <c r="L38" s="40"/>
      <c r="Q38"/>
      <c r="R38"/>
      <c r="T38">
        <v>14715</v>
      </c>
      <c r="U38" t="s">
        <v>339</v>
      </c>
      <c r="V38" t="s">
        <v>340</v>
      </c>
      <c r="W38" s="40">
        <v>295</v>
      </c>
      <c r="X38" s="40">
        <v>4</v>
      </c>
    </row>
    <row r="39" spans="1:24" x14ac:dyDescent="0.3">
      <c r="A39">
        <v>8473</v>
      </c>
      <c r="B39" t="s">
        <v>58</v>
      </c>
      <c r="C39" t="s">
        <v>59</v>
      </c>
      <c r="D39" s="17">
        <v>340000</v>
      </c>
      <c r="L39" s="40"/>
      <c r="Q39"/>
      <c r="R39"/>
      <c r="T39">
        <v>30101</v>
      </c>
      <c r="U39" t="s">
        <v>341</v>
      </c>
      <c r="V39" t="s">
        <v>342</v>
      </c>
      <c r="W39" s="40">
        <v>205</v>
      </c>
      <c r="X39" s="40">
        <v>3</v>
      </c>
    </row>
    <row r="40" spans="1:24" x14ac:dyDescent="0.3">
      <c r="A40" t="s">
        <v>459</v>
      </c>
      <c r="B40" t="s">
        <v>469</v>
      </c>
      <c r="C40" t="s">
        <v>470</v>
      </c>
      <c r="D40" s="17">
        <v>180000</v>
      </c>
      <c r="F40" s="15" t="s">
        <v>380</v>
      </c>
      <c r="G40" s="63">
        <v>46270</v>
      </c>
      <c r="L40" s="40"/>
      <c r="Q40"/>
      <c r="R40"/>
      <c r="T40">
        <v>14824</v>
      </c>
      <c r="U40" t="s">
        <v>364</v>
      </c>
      <c r="V40" t="s">
        <v>365</v>
      </c>
      <c r="W40" s="40">
        <v>170</v>
      </c>
      <c r="X40" s="40">
        <v>2</v>
      </c>
    </row>
    <row r="41" spans="1:24" x14ac:dyDescent="0.3">
      <c r="A41">
        <v>33116</v>
      </c>
      <c r="B41" t="s">
        <v>195</v>
      </c>
      <c r="C41" t="s">
        <v>196</v>
      </c>
      <c r="D41" s="17">
        <v>167000</v>
      </c>
      <c r="F41" s="15" t="s">
        <v>385</v>
      </c>
      <c r="G41" t="s">
        <v>403</v>
      </c>
      <c r="L41" s="40"/>
      <c r="Q41"/>
      <c r="R41"/>
      <c r="T41">
        <v>18861</v>
      </c>
      <c r="U41" t="s">
        <v>351</v>
      </c>
      <c r="V41" t="s">
        <v>352</v>
      </c>
      <c r="W41" s="40">
        <v>170</v>
      </c>
      <c r="X41" s="40">
        <v>3</v>
      </c>
    </row>
    <row r="42" spans="1:24" x14ac:dyDescent="0.3">
      <c r="A42">
        <v>18861</v>
      </c>
      <c r="B42" t="s">
        <v>351</v>
      </c>
      <c r="C42" t="s">
        <v>352</v>
      </c>
      <c r="D42" s="17">
        <v>160000</v>
      </c>
      <c r="F42" s="329" t="s">
        <v>476</v>
      </c>
      <c r="G42" s="329"/>
      <c r="H42" s="329"/>
      <c r="I42" s="329"/>
      <c r="J42" s="65"/>
      <c r="L42" s="40"/>
      <c r="Q42"/>
      <c r="R42"/>
      <c r="T42">
        <v>28528</v>
      </c>
      <c r="U42" t="s">
        <v>173</v>
      </c>
      <c r="V42" t="s">
        <v>174</v>
      </c>
      <c r="W42" s="40">
        <v>125</v>
      </c>
      <c r="X42" s="40">
        <v>2</v>
      </c>
    </row>
    <row r="43" spans="1:24" x14ac:dyDescent="0.3">
      <c r="A43">
        <v>1396</v>
      </c>
      <c r="B43" t="s">
        <v>66</v>
      </c>
      <c r="C43" t="s">
        <v>67</v>
      </c>
      <c r="D43" s="17">
        <v>160000</v>
      </c>
      <c r="F43" s="15" t="s">
        <v>2</v>
      </c>
      <c r="G43" s="15" t="s">
        <v>3</v>
      </c>
      <c r="H43" s="15" t="s">
        <v>4</v>
      </c>
      <c r="I43" t="s">
        <v>477</v>
      </c>
      <c r="L43" s="40"/>
      <c r="Q43"/>
      <c r="R43"/>
      <c r="T43">
        <v>31833</v>
      </c>
      <c r="U43" t="s">
        <v>140</v>
      </c>
      <c r="V43" t="s">
        <v>40</v>
      </c>
      <c r="W43" s="40">
        <v>110</v>
      </c>
      <c r="X43" s="40">
        <v>1</v>
      </c>
    </row>
    <row r="44" spans="1:24" x14ac:dyDescent="0.3">
      <c r="A44">
        <v>17558</v>
      </c>
      <c r="B44" t="s">
        <v>333</v>
      </c>
      <c r="C44" t="s">
        <v>471</v>
      </c>
      <c r="D44" s="17">
        <v>140000</v>
      </c>
      <c r="F44">
        <v>28433</v>
      </c>
      <c r="G44" t="s">
        <v>353</v>
      </c>
      <c r="H44" t="s">
        <v>354</v>
      </c>
      <c r="I44" s="64">
        <v>130000</v>
      </c>
      <c r="L44" s="40"/>
      <c r="Q44"/>
      <c r="R44"/>
      <c r="T44">
        <v>33476</v>
      </c>
      <c r="U44" t="s">
        <v>166</v>
      </c>
      <c r="V44" t="s">
        <v>167</v>
      </c>
      <c r="W44" s="40">
        <v>110</v>
      </c>
      <c r="X44" s="40">
        <v>1</v>
      </c>
    </row>
    <row r="45" spans="1:24" x14ac:dyDescent="0.3">
      <c r="A45">
        <v>14824</v>
      </c>
      <c r="B45" t="s">
        <v>364</v>
      </c>
      <c r="C45" t="s">
        <v>365</v>
      </c>
      <c r="D45" s="17">
        <v>130000</v>
      </c>
      <c r="F45">
        <v>21865</v>
      </c>
      <c r="G45" t="s">
        <v>107</v>
      </c>
      <c r="H45" t="s">
        <v>108</v>
      </c>
      <c r="I45" s="64">
        <v>100000</v>
      </c>
      <c r="L45" s="40"/>
      <c r="Q45"/>
      <c r="R45"/>
      <c r="T45">
        <v>17558</v>
      </c>
      <c r="U45" t="s">
        <v>333</v>
      </c>
      <c r="V45" t="s">
        <v>471</v>
      </c>
      <c r="W45" s="40">
        <v>95</v>
      </c>
      <c r="X45" s="40">
        <v>1</v>
      </c>
    </row>
    <row r="46" spans="1:24" x14ac:dyDescent="0.3">
      <c r="A46">
        <v>2193</v>
      </c>
      <c r="B46" t="s">
        <v>84</v>
      </c>
      <c r="C46" t="s">
        <v>88</v>
      </c>
      <c r="D46" s="17">
        <v>130000</v>
      </c>
      <c r="F46">
        <v>30087</v>
      </c>
      <c r="G46" t="s">
        <v>149</v>
      </c>
      <c r="H46" t="s">
        <v>150</v>
      </c>
      <c r="I46" s="64">
        <v>30000</v>
      </c>
      <c r="L46" s="40"/>
      <c r="Q46"/>
      <c r="R46"/>
      <c r="T46">
        <v>2193</v>
      </c>
      <c r="U46" t="s">
        <v>84</v>
      </c>
      <c r="V46" t="s">
        <v>88</v>
      </c>
      <c r="W46" s="40">
        <v>80</v>
      </c>
      <c r="X46" s="40">
        <v>1</v>
      </c>
    </row>
    <row r="47" spans="1:24" x14ac:dyDescent="0.3">
      <c r="A47">
        <v>22156</v>
      </c>
      <c r="B47" t="s">
        <v>231</v>
      </c>
      <c r="C47" t="s">
        <v>232</v>
      </c>
      <c r="D47" s="17">
        <v>120000</v>
      </c>
      <c r="F47">
        <v>24140</v>
      </c>
      <c r="G47" t="s">
        <v>363</v>
      </c>
      <c r="H47" t="s">
        <v>119</v>
      </c>
      <c r="I47" s="64">
        <v>30000</v>
      </c>
      <c r="L47" s="40"/>
      <c r="Q47"/>
      <c r="R47"/>
      <c r="T47">
        <v>22617</v>
      </c>
      <c r="U47" t="s">
        <v>326</v>
      </c>
      <c r="V47" t="s">
        <v>327</v>
      </c>
      <c r="W47" s="40">
        <v>80</v>
      </c>
      <c r="X47" s="40">
        <v>1</v>
      </c>
    </row>
    <row r="48" spans="1:24" x14ac:dyDescent="0.3">
      <c r="A48">
        <v>3936</v>
      </c>
      <c r="B48" t="s">
        <v>462</v>
      </c>
      <c r="C48" t="s">
        <v>570</v>
      </c>
      <c r="D48" s="17">
        <v>110000</v>
      </c>
      <c r="F48" t="s">
        <v>414</v>
      </c>
      <c r="I48" s="64">
        <v>290000</v>
      </c>
      <c r="L48" s="40"/>
      <c r="Q48"/>
      <c r="R48"/>
      <c r="T48">
        <v>34722</v>
      </c>
      <c r="U48" t="s">
        <v>464</v>
      </c>
      <c r="V48" t="s">
        <v>458</v>
      </c>
      <c r="W48" s="40">
        <v>75</v>
      </c>
      <c r="X48" s="40">
        <v>1</v>
      </c>
    </row>
    <row r="49" spans="1:24" x14ac:dyDescent="0.3">
      <c r="A49">
        <v>9530</v>
      </c>
      <c r="B49" t="s">
        <v>461</v>
      </c>
      <c r="C49" t="s">
        <v>284</v>
      </c>
      <c r="D49" s="17">
        <v>100000</v>
      </c>
      <c r="L49" s="40"/>
      <c r="Q49"/>
      <c r="T49">
        <v>12531</v>
      </c>
      <c r="U49" t="s">
        <v>366</v>
      </c>
      <c r="V49" t="s">
        <v>367</v>
      </c>
      <c r="W49" s="40">
        <v>75</v>
      </c>
      <c r="X49" s="40">
        <v>1</v>
      </c>
    </row>
    <row r="50" spans="1:24" x14ac:dyDescent="0.3">
      <c r="A50">
        <v>12531</v>
      </c>
      <c r="B50" t="s">
        <v>366</v>
      </c>
      <c r="C50" t="s">
        <v>367</v>
      </c>
      <c r="D50" s="17">
        <v>85000</v>
      </c>
      <c r="L50" s="40"/>
      <c r="Q50"/>
      <c r="T50">
        <v>2329</v>
      </c>
      <c r="U50" t="s">
        <v>465</v>
      </c>
      <c r="V50" t="s">
        <v>466</v>
      </c>
      <c r="W50" s="40">
        <v>70</v>
      </c>
      <c r="X50" s="40">
        <v>1</v>
      </c>
    </row>
    <row r="51" spans="1:24" x14ac:dyDescent="0.3">
      <c r="A51">
        <v>34722</v>
      </c>
      <c r="B51" t="s">
        <v>464</v>
      </c>
      <c r="C51" t="s">
        <v>458</v>
      </c>
      <c r="D51" s="17">
        <v>85000</v>
      </c>
      <c r="L51" s="40"/>
      <c r="Q51"/>
      <c r="T51">
        <v>351</v>
      </c>
      <c r="U51" t="s">
        <v>155</v>
      </c>
      <c r="V51" t="s">
        <v>156</v>
      </c>
      <c r="W51" s="40">
        <v>65</v>
      </c>
      <c r="X51" s="40">
        <v>1</v>
      </c>
    </row>
    <row r="52" spans="1:24" x14ac:dyDescent="0.3">
      <c r="A52">
        <v>14715</v>
      </c>
      <c r="B52" t="s">
        <v>339</v>
      </c>
      <c r="C52" t="s">
        <v>340</v>
      </c>
      <c r="D52" s="17">
        <v>60000</v>
      </c>
      <c r="L52" s="40"/>
      <c r="Q52"/>
      <c r="T52">
        <v>17697</v>
      </c>
      <c r="U52" t="s">
        <v>84</v>
      </c>
      <c r="V52" t="s">
        <v>196</v>
      </c>
      <c r="W52" s="40">
        <v>60</v>
      </c>
      <c r="X52" s="40">
        <v>1</v>
      </c>
    </row>
    <row r="53" spans="1:24" x14ac:dyDescent="0.3">
      <c r="A53">
        <v>28528</v>
      </c>
      <c r="B53" t="s">
        <v>173</v>
      </c>
      <c r="C53" t="s">
        <v>174</v>
      </c>
      <c r="D53" s="17">
        <v>60000</v>
      </c>
      <c r="L53" s="40"/>
      <c r="Q53"/>
      <c r="T53">
        <v>20886</v>
      </c>
      <c r="U53" t="s">
        <v>258</v>
      </c>
      <c r="V53" t="s">
        <v>250</v>
      </c>
      <c r="W53" s="40">
        <v>50</v>
      </c>
      <c r="X53" s="40">
        <v>1</v>
      </c>
    </row>
    <row r="54" spans="1:24" x14ac:dyDescent="0.3">
      <c r="A54">
        <v>30101</v>
      </c>
      <c r="B54" t="s">
        <v>341</v>
      </c>
      <c r="C54" t="s">
        <v>342</v>
      </c>
      <c r="D54" s="17">
        <v>60000</v>
      </c>
      <c r="Q54"/>
      <c r="T54">
        <v>666666</v>
      </c>
      <c r="U54" t="s">
        <v>467</v>
      </c>
      <c r="V54" t="s">
        <v>161</v>
      </c>
      <c r="W54" s="40">
        <v>35</v>
      </c>
      <c r="X54" s="40">
        <v>1</v>
      </c>
    </row>
    <row r="55" spans="1:24" x14ac:dyDescent="0.3">
      <c r="A55">
        <v>14084</v>
      </c>
      <c r="B55" t="s">
        <v>39</v>
      </c>
      <c r="C55" t="s">
        <v>40</v>
      </c>
      <c r="D55" s="17">
        <v>60000</v>
      </c>
      <c r="Q55"/>
      <c r="T55">
        <v>666667</v>
      </c>
      <c r="U55" t="s">
        <v>468</v>
      </c>
      <c r="V55" t="s">
        <v>459</v>
      </c>
      <c r="W55" s="40">
        <v>30</v>
      </c>
      <c r="X55" s="40">
        <v>1</v>
      </c>
    </row>
    <row r="56" spans="1:24" x14ac:dyDescent="0.3">
      <c r="A56">
        <v>22617</v>
      </c>
      <c r="B56" t="s">
        <v>326</v>
      </c>
      <c r="C56" t="s">
        <v>327</v>
      </c>
      <c r="D56" s="17">
        <v>30000</v>
      </c>
      <c r="Q56"/>
      <c r="T56" t="s">
        <v>414</v>
      </c>
      <c r="W56" s="40">
        <v>46385</v>
      </c>
      <c r="X56" s="40">
        <v>505</v>
      </c>
    </row>
    <row r="57" spans="1:24" x14ac:dyDescent="0.3">
      <c r="A57" t="s">
        <v>414</v>
      </c>
      <c r="D57" s="17">
        <v>19940000</v>
      </c>
      <c r="Q57"/>
    </row>
    <row r="58" spans="1:24" x14ac:dyDescent="0.3">
      <c r="Q58"/>
    </row>
    <row r="59" spans="1:24" x14ac:dyDescent="0.3">
      <c r="Q59"/>
    </row>
    <row r="60" spans="1:24" x14ac:dyDescent="0.3">
      <c r="Q60"/>
    </row>
    <row r="61" spans="1:24" x14ac:dyDescent="0.3">
      <c r="Q61"/>
    </row>
    <row r="62" spans="1:24" x14ac:dyDescent="0.3">
      <c r="Q62"/>
    </row>
    <row r="63" spans="1:24" x14ac:dyDescent="0.3">
      <c r="Q63"/>
    </row>
    <row r="64" spans="1:24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</sheetData>
  <mergeCells count="9">
    <mergeCell ref="F42:I42"/>
    <mergeCell ref="F2:K2"/>
    <mergeCell ref="AF2:AK2"/>
    <mergeCell ref="A2:D2"/>
    <mergeCell ref="M34:Q34"/>
    <mergeCell ref="A12:D12"/>
    <mergeCell ref="Z2:AD2"/>
    <mergeCell ref="T2:W2"/>
    <mergeCell ref="M3:R3"/>
  </mergeCells>
  <printOptions horizontalCentered="1"/>
  <pageMargins left="0.70866141732283472" right="0.70866141732283472" top="0.74803149606299213" bottom="0.74803149606299213" header="0.31496062992125984" footer="0.31496062992125984"/>
  <pageSetup scale="85" fitToWidth="100" orientation="portrait" r:id="rId9"/>
  <colBreaks count="5" manualBreakCount="5">
    <brk id="5" max="1048575" man="1"/>
    <brk id="12" max="56" man="1"/>
    <brk id="19" max="1048575" man="1"/>
    <brk id="25" max="1048575" man="1"/>
    <brk id="31" max="56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C6C2-719D-43DE-9478-310DC3F7AEF9}">
  <sheetPr codeName="Hoja10"/>
  <dimension ref="E1:N58"/>
  <sheetViews>
    <sheetView topLeftCell="A34" workbookViewId="0">
      <selection activeCell="M19" sqref="M19"/>
    </sheetView>
  </sheetViews>
  <sheetFormatPr baseColWidth="10" defaultRowHeight="14.4" x14ac:dyDescent="0.3"/>
  <cols>
    <col min="6" max="6" width="18.109375" bestFit="1" customWidth="1"/>
    <col min="7" max="7" width="17.109375" bestFit="1" customWidth="1"/>
    <col min="12" max="12" width="12.88671875" bestFit="1" customWidth="1"/>
    <col min="13" max="13" width="12.6640625" bestFit="1" customWidth="1"/>
    <col min="14" max="14" width="12.88671875" bestFit="1" customWidth="1"/>
  </cols>
  <sheetData>
    <row r="1" spans="5:13" x14ac:dyDescent="0.3">
      <c r="E1" s="329" t="s">
        <v>408</v>
      </c>
      <c r="F1" s="329"/>
      <c r="G1" s="329"/>
      <c r="H1" s="329"/>
      <c r="I1" s="163"/>
    </row>
    <row r="2" spans="5:13" x14ac:dyDescent="0.3">
      <c r="E2" t="s">
        <v>2</v>
      </c>
      <c r="F2" t="s">
        <v>3</v>
      </c>
      <c r="G2" t="s">
        <v>4</v>
      </c>
      <c r="H2" t="s">
        <v>410</v>
      </c>
      <c r="I2" t="s">
        <v>472</v>
      </c>
    </row>
    <row r="3" spans="5:13" x14ac:dyDescent="0.3">
      <c r="E3">
        <v>15107</v>
      </c>
      <c r="F3" t="s">
        <v>153</v>
      </c>
      <c r="G3" t="s">
        <v>154</v>
      </c>
      <c r="H3" s="40">
        <v>2265</v>
      </c>
      <c r="I3" s="40">
        <v>24</v>
      </c>
      <c r="J3" s="167">
        <f>I3*8672</f>
        <v>208128</v>
      </c>
      <c r="K3">
        <f>300000-J3</f>
        <v>91872</v>
      </c>
    </row>
    <row r="4" spans="5:13" x14ac:dyDescent="0.3">
      <c r="E4">
        <v>30087</v>
      </c>
      <c r="F4" t="s">
        <v>149</v>
      </c>
      <c r="G4" t="s">
        <v>150</v>
      </c>
      <c r="H4" s="40">
        <v>2235</v>
      </c>
      <c r="I4" s="40">
        <v>21</v>
      </c>
      <c r="J4" s="167">
        <f t="shared" ref="J4:J49" si="0">I4*8672</f>
        <v>182112</v>
      </c>
      <c r="K4">
        <f t="shared" ref="K4:K49" si="1">300000-J4</f>
        <v>117888</v>
      </c>
    </row>
    <row r="5" spans="5:13" x14ac:dyDescent="0.3">
      <c r="E5">
        <v>21865</v>
      </c>
      <c r="F5" t="s">
        <v>107</v>
      </c>
      <c r="G5" t="s">
        <v>108</v>
      </c>
      <c r="H5" s="40">
        <v>2150</v>
      </c>
      <c r="I5" s="40">
        <v>23</v>
      </c>
      <c r="J5" s="167">
        <f t="shared" si="0"/>
        <v>199456</v>
      </c>
      <c r="K5">
        <f t="shared" si="1"/>
        <v>100544</v>
      </c>
    </row>
    <row r="6" spans="5:13" x14ac:dyDescent="0.3">
      <c r="E6">
        <v>18908</v>
      </c>
      <c r="F6" t="s">
        <v>190</v>
      </c>
      <c r="G6" t="s">
        <v>88</v>
      </c>
      <c r="H6" s="40">
        <v>2150</v>
      </c>
      <c r="I6" s="40">
        <v>20</v>
      </c>
      <c r="J6" s="167">
        <f t="shared" si="0"/>
        <v>173440</v>
      </c>
      <c r="K6">
        <f t="shared" si="1"/>
        <v>126560</v>
      </c>
    </row>
    <row r="7" spans="5:13" x14ac:dyDescent="0.3">
      <c r="E7">
        <v>28433</v>
      </c>
      <c r="F7" t="s">
        <v>353</v>
      </c>
      <c r="G7" t="s">
        <v>354</v>
      </c>
      <c r="H7" s="40">
        <v>2055</v>
      </c>
      <c r="I7" s="40">
        <v>21</v>
      </c>
      <c r="J7" s="167">
        <f t="shared" si="0"/>
        <v>182112</v>
      </c>
      <c r="K7">
        <f t="shared" si="1"/>
        <v>117888</v>
      </c>
    </row>
    <row r="8" spans="5:13" x14ac:dyDescent="0.3">
      <c r="E8">
        <v>30572</v>
      </c>
      <c r="F8" t="s">
        <v>225</v>
      </c>
      <c r="G8" t="s">
        <v>226</v>
      </c>
      <c r="H8" s="40">
        <v>2040</v>
      </c>
      <c r="I8" s="40">
        <v>20</v>
      </c>
      <c r="J8" s="167">
        <f t="shared" si="0"/>
        <v>173440</v>
      </c>
      <c r="K8">
        <f t="shared" si="1"/>
        <v>126560</v>
      </c>
    </row>
    <row r="9" spans="5:13" x14ac:dyDescent="0.3">
      <c r="E9">
        <v>24283</v>
      </c>
      <c r="F9" t="s">
        <v>287</v>
      </c>
      <c r="G9" t="s">
        <v>288</v>
      </c>
      <c r="H9" s="40">
        <v>1970</v>
      </c>
      <c r="I9" s="40">
        <v>20</v>
      </c>
      <c r="M9">
        <f>I9*8672</f>
        <v>173440</v>
      </c>
    </row>
    <row r="10" spans="5:13" x14ac:dyDescent="0.3">
      <c r="E10">
        <v>12724</v>
      </c>
      <c r="F10" t="s">
        <v>460</v>
      </c>
      <c r="G10" t="s">
        <v>246</v>
      </c>
      <c r="H10" s="40">
        <v>1940</v>
      </c>
      <c r="I10" s="40">
        <v>21</v>
      </c>
      <c r="J10" s="167">
        <f t="shared" si="0"/>
        <v>182112</v>
      </c>
      <c r="K10">
        <f t="shared" si="1"/>
        <v>117888</v>
      </c>
    </row>
    <row r="11" spans="5:13" x14ac:dyDescent="0.3">
      <c r="E11">
        <v>7891</v>
      </c>
      <c r="F11" t="s">
        <v>220</v>
      </c>
      <c r="G11" t="s">
        <v>221</v>
      </c>
      <c r="H11" s="40">
        <v>1830</v>
      </c>
      <c r="I11" s="40">
        <v>18</v>
      </c>
      <c r="J11" s="167">
        <f t="shared" si="0"/>
        <v>156096</v>
      </c>
      <c r="K11">
        <f t="shared" si="1"/>
        <v>143904</v>
      </c>
    </row>
    <row r="12" spans="5:13" x14ac:dyDescent="0.3">
      <c r="E12">
        <v>28225</v>
      </c>
      <c r="F12" t="s">
        <v>222</v>
      </c>
      <c r="G12" t="s">
        <v>233</v>
      </c>
      <c r="H12" s="40">
        <v>1640</v>
      </c>
      <c r="I12" s="40">
        <v>17</v>
      </c>
      <c r="J12" s="167">
        <f t="shared" si="0"/>
        <v>147424</v>
      </c>
      <c r="K12">
        <f t="shared" si="1"/>
        <v>152576</v>
      </c>
    </row>
    <row r="13" spans="5:13" x14ac:dyDescent="0.3">
      <c r="E13">
        <v>16260</v>
      </c>
      <c r="F13" t="s">
        <v>270</v>
      </c>
      <c r="G13" t="s">
        <v>271</v>
      </c>
      <c r="H13" s="40">
        <v>1590</v>
      </c>
      <c r="I13" s="40">
        <v>14</v>
      </c>
      <c r="M13">
        <f>I13*8672</f>
        <v>121408</v>
      </c>
    </row>
    <row r="14" spans="5:13" x14ac:dyDescent="0.3">
      <c r="E14">
        <v>4080</v>
      </c>
      <c r="F14" t="s">
        <v>191</v>
      </c>
      <c r="G14" t="s">
        <v>106</v>
      </c>
      <c r="H14" s="40">
        <v>1570</v>
      </c>
      <c r="I14" s="40">
        <v>18</v>
      </c>
      <c r="J14" s="167">
        <f t="shared" si="0"/>
        <v>156096</v>
      </c>
      <c r="K14">
        <f t="shared" si="1"/>
        <v>143904</v>
      </c>
    </row>
    <row r="15" spans="5:13" x14ac:dyDescent="0.3">
      <c r="E15">
        <v>24140</v>
      </c>
      <c r="F15" t="s">
        <v>363</v>
      </c>
      <c r="G15" t="s">
        <v>119</v>
      </c>
      <c r="H15" s="40">
        <v>1565</v>
      </c>
      <c r="I15" s="40">
        <v>18</v>
      </c>
      <c r="M15">
        <f>I15*8672</f>
        <v>156096</v>
      </c>
    </row>
    <row r="16" spans="5:13" x14ac:dyDescent="0.3">
      <c r="E16">
        <v>16552</v>
      </c>
      <c r="F16" t="s">
        <v>272</v>
      </c>
      <c r="G16" t="s">
        <v>273</v>
      </c>
      <c r="H16" s="40">
        <v>1475</v>
      </c>
      <c r="I16" s="40">
        <v>18</v>
      </c>
      <c r="K16">
        <f>300000-M16</f>
        <v>143904</v>
      </c>
      <c r="M16">
        <f>I16*8672</f>
        <v>156096</v>
      </c>
    </row>
    <row r="17" spans="5:13" x14ac:dyDescent="0.3">
      <c r="E17">
        <v>22156</v>
      </c>
      <c r="F17" t="s">
        <v>231</v>
      </c>
      <c r="G17" t="s">
        <v>232</v>
      </c>
      <c r="H17" s="40">
        <v>1360</v>
      </c>
      <c r="I17" s="40">
        <v>18</v>
      </c>
      <c r="M17">
        <f>I17*8672</f>
        <v>156096</v>
      </c>
    </row>
    <row r="18" spans="5:13" x14ac:dyDescent="0.3">
      <c r="E18">
        <v>13625</v>
      </c>
      <c r="F18" t="s">
        <v>222</v>
      </c>
      <c r="G18" t="s">
        <v>223</v>
      </c>
      <c r="H18" s="40">
        <v>1240</v>
      </c>
      <c r="I18" s="40">
        <v>10</v>
      </c>
      <c r="J18">
        <f t="shared" si="0"/>
        <v>86720</v>
      </c>
      <c r="K18">
        <f t="shared" si="1"/>
        <v>213280</v>
      </c>
    </row>
    <row r="19" spans="5:13" x14ac:dyDescent="0.3">
      <c r="E19">
        <v>18411</v>
      </c>
      <c r="F19" t="s">
        <v>28</v>
      </c>
      <c r="G19" t="s">
        <v>29</v>
      </c>
      <c r="H19" s="40">
        <v>1235</v>
      </c>
      <c r="I19" s="40">
        <v>14</v>
      </c>
      <c r="K19">
        <f>300000-M19</f>
        <v>178592</v>
      </c>
      <c r="M19">
        <f>I19*8672</f>
        <v>121408</v>
      </c>
    </row>
    <row r="20" spans="5:13" x14ac:dyDescent="0.3">
      <c r="E20">
        <v>27233</v>
      </c>
      <c r="F20" t="s">
        <v>193</v>
      </c>
      <c r="G20" t="s">
        <v>194</v>
      </c>
      <c r="H20" s="40">
        <v>1150</v>
      </c>
      <c r="I20" s="40">
        <v>15</v>
      </c>
      <c r="J20">
        <f t="shared" si="0"/>
        <v>130080</v>
      </c>
      <c r="K20">
        <f t="shared" si="1"/>
        <v>169920</v>
      </c>
    </row>
    <row r="21" spans="5:13" x14ac:dyDescent="0.3">
      <c r="E21">
        <v>26953</v>
      </c>
      <c r="F21" t="s">
        <v>120</v>
      </c>
      <c r="G21" t="s">
        <v>121</v>
      </c>
      <c r="H21" s="40">
        <v>1135</v>
      </c>
      <c r="I21" s="40">
        <v>15</v>
      </c>
      <c r="M21">
        <f>I21*8672</f>
        <v>130080</v>
      </c>
    </row>
    <row r="22" spans="5:13" x14ac:dyDescent="0.3">
      <c r="E22">
        <v>9446</v>
      </c>
      <c r="F22" t="s">
        <v>285</v>
      </c>
      <c r="G22" t="s">
        <v>286</v>
      </c>
      <c r="H22" s="40">
        <v>1095</v>
      </c>
      <c r="I22" s="40">
        <v>13</v>
      </c>
      <c r="J22">
        <f t="shared" si="0"/>
        <v>112736</v>
      </c>
      <c r="K22">
        <f t="shared" si="1"/>
        <v>187264</v>
      </c>
    </row>
    <row r="23" spans="5:13" x14ac:dyDescent="0.3">
      <c r="E23">
        <v>32142</v>
      </c>
      <c r="F23" t="s">
        <v>47</v>
      </c>
      <c r="G23" t="s">
        <v>48</v>
      </c>
      <c r="H23" s="40">
        <v>1005</v>
      </c>
      <c r="I23" s="40">
        <v>11</v>
      </c>
      <c r="J23">
        <f t="shared" si="0"/>
        <v>95392</v>
      </c>
      <c r="K23">
        <f t="shared" si="1"/>
        <v>204608</v>
      </c>
    </row>
    <row r="24" spans="5:13" x14ac:dyDescent="0.3">
      <c r="E24">
        <v>17043</v>
      </c>
      <c r="F24" t="s">
        <v>118</v>
      </c>
      <c r="G24" t="s">
        <v>119</v>
      </c>
      <c r="H24" s="40">
        <v>980</v>
      </c>
      <c r="I24" s="40">
        <v>15</v>
      </c>
      <c r="J24">
        <f t="shared" si="0"/>
        <v>130080</v>
      </c>
      <c r="K24">
        <f t="shared" si="1"/>
        <v>169920</v>
      </c>
    </row>
    <row r="25" spans="5:13" x14ac:dyDescent="0.3">
      <c r="E25">
        <v>8473</v>
      </c>
      <c r="F25" t="s">
        <v>58</v>
      </c>
      <c r="G25" t="s">
        <v>59</v>
      </c>
      <c r="H25" s="40">
        <v>975</v>
      </c>
      <c r="I25" s="40">
        <v>15</v>
      </c>
      <c r="M25">
        <f>I25*8672</f>
        <v>130080</v>
      </c>
    </row>
    <row r="26" spans="5:13" x14ac:dyDescent="0.3">
      <c r="E26">
        <v>27435</v>
      </c>
      <c r="F26" t="s">
        <v>151</v>
      </c>
      <c r="G26" t="s">
        <v>152</v>
      </c>
      <c r="H26" s="40">
        <v>910</v>
      </c>
      <c r="I26" s="40">
        <v>9</v>
      </c>
      <c r="J26">
        <f t="shared" si="0"/>
        <v>78048</v>
      </c>
      <c r="K26">
        <f t="shared" si="1"/>
        <v>221952</v>
      </c>
    </row>
    <row r="27" spans="5:13" x14ac:dyDescent="0.3">
      <c r="E27">
        <v>3936</v>
      </c>
      <c r="F27" t="s">
        <v>462</v>
      </c>
      <c r="G27" t="s">
        <v>463</v>
      </c>
      <c r="H27" s="40">
        <v>885</v>
      </c>
      <c r="I27" s="40">
        <v>10</v>
      </c>
      <c r="J27">
        <f t="shared" si="0"/>
        <v>86720</v>
      </c>
      <c r="K27">
        <f t="shared" si="1"/>
        <v>213280</v>
      </c>
    </row>
    <row r="28" spans="5:13" x14ac:dyDescent="0.3">
      <c r="E28">
        <v>31818</v>
      </c>
      <c r="F28" t="s">
        <v>235</v>
      </c>
      <c r="G28" t="s">
        <v>236</v>
      </c>
      <c r="H28" s="40">
        <v>835</v>
      </c>
      <c r="I28" s="40">
        <v>8</v>
      </c>
      <c r="J28">
        <f t="shared" si="0"/>
        <v>69376</v>
      </c>
      <c r="K28">
        <f t="shared" si="1"/>
        <v>230624</v>
      </c>
    </row>
    <row r="29" spans="5:13" x14ac:dyDescent="0.3">
      <c r="E29">
        <v>14084</v>
      </c>
      <c r="F29" t="s">
        <v>39</v>
      </c>
      <c r="G29" t="s">
        <v>40</v>
      </c>
      <c r="H29" s="40">
        <v>715</v>
      </c>
      <c r="I29" s="40">
        <v>8</v>
      </c>
      <c r="J29">
        <f t="shared" si="0"/>
        <v>69376</v>
      </c>
      <c r="K29">
        <f t="shared" si="1"/>
        <v>230624</v>
      </c>
    </row>
    <row r="30" spans="5:13" x14ac:dyDescent="0.3">
      <c r="E30">
        <v>20941</v>
      </c>
      <c r="F30" t="s">
        <v>319</v>
      </c>
      <c r="G30" t="s">
        <v>320</v>
      </c>
      <c r="H30" s="40">
        <v>680</v>
      </c>
      <c r="I30" s="40">
        <v>9</v>
      </c>
      <c r="J30">
        <f t="shared" si="0"/>
        <v>78048</v>
      </c>
      <c r="K30">
        <f t="shared" si="1"/>
        <v>221952</v>
      </c>
    </row>
    <row r="31" spans="5:13" x14ac:dyDescent="0.3">
      <c r="E31">
        <v>9530</v>
      </c>
      <c r="F31" t="s">
        <v>461</v>
      </c>
      <c r="G31" t="s">
        <v>284</v>
      </c>
      <c r="H31" s="40">
        <v>675</v>
      </c>
      <c r="I31" s="40">
        <v>8</v>
      </c>
      <c r="M31">
        <f>I31*8672</f>
        <v>69376</v>
      </c>
    </row>
    <row r="32" spans="5:13" x14ac:dyDescent="0.3">
      <c r="E32">
        <v>19187</v>
      </c>
      <c r="F32" t="s">
        <v>328</v>
      </c>
      <c r="G32" t="s">
        <v>200</v>
      </c>
      <c r="H32" s="40">
        <v>605</v>
      </c>
      <c r="I32" s="40">
        <v>8</v>
      </c>
      <c r="J32">
        <f t="shared" si="0"/>
        <v>69376</v>
      </c>
      <c r="K32">
        <f t="shared" si="1"/>
        <v>230624</v>
      </c>
    </row>
    <row r="33" spans="5:13" x14ac:dyDescent="0.3">
      <c r="E33">
        <v>1396</v>
      </c>
      <c r="F33" t="s">
        <v>66</v>
      </c>
      <c r="G33" t="s">
        <v>67</v>
      </c>
      <c r="H33" s="40">
        <v>405</v>
      </c>
      <c r="I33" s="40">
        <v>3</v>
      </c>
      <c r="M33">
        <f>I33*8672</f>
        <v>26016</v>
      </c>
    </row>
    <row r="34" spans="5:13" x14ac:dyDescent="0.3">
      <c r="E34">
        <v>32182</v>
      </c>
      <c r="F34" t="s">
        <v>188</v>
      </c>
      <c r="G34" t="s">
        <v>189</v>
      </c>
      <c r="H34" s="40">
        <v>370</v>
      </c>
      <c r="I34" s="40">
        <v>4</v>
      </c>
      <c r="J34">
        <f t="shared" si="0"/>
        <v>34688</v>
      </c>
      <c r="K34">
        <f t="shared" si="1"/>
        <v>265312</v>
      </c>
    </row>
    <row r="35" spans="5:13" x14ac:dyDescent="0.3">
      <c r="E35">
        <v>33116</v>
      </c>
      <c r="F35" t="s">
        <v>195</v>
      </c>
      <c r="G35" t="s">
        <v>196</v>
      </c>
      <c r="H35" s="40">
        <v>365</v>
      </c>
      <c r="I35" s="40">
        <v>4</v>
      </c>
      <c r="J35">
        <f t="shared" si="0"/>
        <v>34688</v>
      </c>
      <c r="K35">
        <f t="shared" si="1"/>
        <v>265312</v>
      </c>
    </row>
    <row r="36" spans="5:13" x14ac:dyDescent="0.3">
      <c r="E36">
        <v>14715</v>
      </c>
      <c r="F36" t="s">
        <v>339</v>
      </c>
      <c r="G36" t="s">
        <v>340</v>
      </c>
      <c r="H36" s="40">
        <v>295</v>
      </c>
      <c r="I36" s="40">
        <v>4</v>
      </c>
      <c r="J36">
        <f t="shared" si="0"/>
        <v>34688</v>
      </c>
      <c r="K36">
        <f t="shared" si="1"/>
        <v>265312</v>
      </c>
    </row>
    <row r="37" spans="5:13" x14ac:dyDescent="0.3">
      <c r="E37">
        <v>30101</v>
      </c>
      <c r="F37" t="s">
        <v>341</v>
      </c>
      <c r="G37" t="s">
        <v>342</v>
      </c>
      <c r="H37" s="40">
        <v>205</v>
      </c>
      <c r="I37" s="40">
        <v>3</v>
      </c>
      <c r="J37">
        <f t="shared" si="0"/>
        <v>26016</v>
      </c>
      <c r="K37">
        <f t="shared" si="1"/>
        <v>273984</v>
      </c>
    </row>
    <row r="38" spans="5:13" x14ac:dyDescent="0.3">
      <c r="E38">
        <v>14824</v>
      </c>
      <c r="F38" t="s">
        <v>364</v>
      </c>
      <c r="G38" t="s">
        <v>365</v>
      </c>
      <c r="H38" s="40">
        <v>170</v>
      </c>
      <c r="I38" s="40">
        <v>2</v>
      </c>
      <c r="J38">
        <f t="shared" si="0"/>
        <v>17344</v>
      </c>
      <c r="K38">
        <f t="shared" si="1"/>
        <v>282656</v>
      </c>
    </row>
    <row r="39" spans="5:13" x14ac:dyDescent="0.3">
      <c r="E39">
        <v>18861</v>
      </c>
      <c r="F39" t="s">
        <v>351</v>
      </c>
      <c r="G39" t="s">
        <v>352</v>
      </c>
      <c r="H39" s="40">
        <v>170</v>
      </c>
      <c r="I39" s="40">
        <v>3</v>
      </c>
      <c r="J39">
        <f t="shared" si="0"/>
        <v>26016</v>
      </c>
      <c r="K39">
        <f t="shared" si="1"/>
        <v>273984</v>
      </c>
    </row>
    <row r="40" spans="5:13" x14ac:dyDescent="0.3">
      <c r="E40">
        <v>28528</v>
      </c>
      <c r="F40" t="s">
        <v>173</v>
      </c>
      <c r="G40" t="s">
        <v>174</v>
      </c>
      <c r="H40" s="40">
        <v>125</v>
      </c>
      <c r="I40" s="40">
        <v>2</v>
      </c>
      <c r="M40">
        <f>I40*8672</f>
        <v>17344</v>
      </c>
    </row>
    <row r="41" spans="5:13" x14ac:dyDescent="0.3">
      <c r="E41">
        <v>31833</v>
      </c>
      <c r="F41" t="s">
        <v>140</v>
      </c>
      <c r="G41" t="s">
        <v>40</v>
      </c>
      <c r="H41" s="40">
        <v>110</v>
      </c>
      <c r="I41" s="40">
        <v>1</v>
      </c>
      <c r="M41">
        <f>I41*8672</f>
        <v>8672</v>
      </c>
    </row>
    <row r="42" spans="5:13" x14ac:dyDescent="0.3">
      <c r="E42">
        <v>33476</v>
      </c>
      <c r="F42" t="s">
        <v>166</v>
      </c>
      <c r="G42" t="s">
        <v>167</v>
      </c>
      <c r="H42" s="40">
        <v>110</v>
      </c>
      <c r="I42" s="40">
        <v>1</v>
      </c>
      <c r="M42">
        <f>I42*8672</f>
        <v>8672</v>
      </c>
    </row>
    <row r="43" spans="5:13" x14ac:dyDescent="0.3">
      <c r="E43">
        <v>17558</v>
      </c>
      <c r="F43" t="s">
        <v>333</v>
      </c>
      <c r="G43" t="s">
        <v>471</v>
      </c>
      <c r="H43" s="40">
        <v>95</v>
      </c>
      <c r="I43" s="40">
        <v>1</v>
      </c>
      <c r="J43">
        <f t="shared" si="0"/>
        <v>8672</v>
      </c>
      <c r="K43">
        <f t="shared" si="1"/>
        <v>291328</v>
      </c>
    </row>
    <row r="44" spans="5:13" x14ac:dyDescent="0.3">
      <c r="E44">
        <v>2193</v>
      </c>
      <c r="F44" t="s">
        <v>84</v>
      </c>
      <c r="G44" t="s">
        <v>88</v>
      </c>
      <c r="H44" s="40">
        <v>80</v>
      </c>
      <c r="I44" s="40">
        <v>1</v>
      </c>
      <c r="M44">
        <f>I44*8672</f>
        <v>8672</v>
      </c>
    </row>
    <row r="45" spans="5:13" x14ac:dyDescent="0.3">
      <c r="E45">
        <v>22617</v>
      </c>
      <c r="F45" t="s">
        <v>326</v>
      </c>
      <c r="G45" t="s">
        <v>327</v>
      </c>
      <c r="H45" s="40">
        <v>80</v>
      </c>
      <c r="I45" s="40">
        <v>1</v>
      </c>
      <c r="J45">
        <f t="shared" si="0"/>
        <v>8672</v>
      </c>
      <c r="K45">
        <f t="shared" si="1"/>
        <v>291328</v>
      </c>
    </row>
    <row r="46" spans="5:13" x14ac:dyDescent="0.3">
      <c r="E46">
        <v>34722</v>
      </c>
      <c r="F46" t="s">
        <v>464</v>
      </c>
      <c r="G46" t="s">
        <v>458</v>
      </c>
      <c r="H46" s="40">
        <v>75</v>
      </c>
      <c r="I46" s="40">
        <v>1</v>
      </c>
      <c r="M46">
        <f>I46*8672</f>
        <v>8672</v>
      </c>
    </row>
    <row r="47" spans="5:13" x14ac:dyDescent="0.3">
      <c r="E47">
        <v>12531</v>
      </c>
      <c r="F47" t="s">
        <v>366</v>
      </c>
      <c r="G47" t="s">
        <v>367</v>
      </c>
      <c r="H47" s="40">
        <v>75</v>
      </c>
      <c r="I47" s="40">
        <v>1</v>
      </c>
      <c r="J47">
        <f>I47*8672</f>
        <v>8672</v>
      </c>
    </row>
    <row r="48" spans="5:13" x14ac:dyDescent="0.3">
      <c r="E48">
        <v>2329</v>
      </c>
      <c r="F48" t="s">
        <v>465</v>
      </c>
      <c r="G48" t="s">
        <v>466</v>
      </c>
      <c r="H48" s="40">
        <v>70</v>
      </c>
      <c r="I48" s="40">
        <v>1</v>
      </c>
      <c r="M48">
        <f>I48*8672</f>
        <v>8672</v>
      </c>
    </row>
    <row r="49" spans="5:14" x14ac:dyDescent="0.3">
      <c r="E49">
        <v>351</v>
      </c>
      <c r="F49" t="s">
        <v>155</v>
      </c>
      <c r="G49" t="s">
        <v>156</v>
      </c>
      <c r="H49" s="40">
        <v>65</v>
      </c>
      <c r="I49" s="40">
        <v>1</v>
      </c>
      <c r="J49">
        <f t="shared" si="0"/>
        <v>8672</v>
      </c>
      <c r="K49">
        <f t="shared" si="1"/>
        <v>291328</v>
      </c>
    </row>
    <row r="50" spans="5:14" x14ac:dyDescent="0.3">
      <c r="E50">
        <v>17697</v>
      </c>
      <c r="F50" t="s">
        <v>84</v>
      </c>
      <c r="G50" t="s">
        <v>196</v>
      </c>
      <c r="H50" s="40">
        <v>60</v>
      </c>
      <c r="I50" s="40">
        <v>1</v>
      </c>
      <c r="M50">
        <f>I50*8672</f>
        <v>8672</v>
      </c>
    </row>
    <row r="51" spans="5:14" x14ac:dyDescent="0.3">
      <c r="E51">
        <v>20886</v>
      </c>
      <c r="F51" t="s">
        <v>258</v>
      </c>
      <c r="G51" t="s">
        <v>250</v>
      </c>
      <c r="H51" s="40">
        <v>50</v>
      </c>
      <c r="I51" s="40">
        <v>1</v>
      </c>
      <c r="M51">
        <f>I51*8672</f>
        <v>8672</v>
      </c>
    </row>
    <row r="52" spans="5:14" x14ac:dyDescent="0.3">
      <c r="E52">
        <v>666666</v>
      </c>
      <c r="F52" t="s">
        <v>467</v>
      </c>
      <c r="G52" t="s">
        <v>161</v>
      </c>
      <c r="H52" s="40">
        <v>35</v>
      </c>
      <c r="I52" s="40">
        <v>1</v>
      </c>
      <c r="M52">
        <f>I52*8672</f>
        <v>8672</v>
      </c>
    </row>
    <row r="53" spans="5:14" x14ac:dyDescent="0.3">
      <c r="E53">
        <v>666667</v>
      </c>
      <c r="F53" t="s">
        <v>468</v>
      </c>
      <c r="G53" t="s">
        <v>459</v>
      </c>
      <c r="H53" s="40">
        <v>30</v>
      </c>
      <c r="I53" s="40">
        <v>1</v>
      </c>
      <c r="M53">
        <f>I53*8672</f>
        <v>8672</v>
      </c>
    </row>
    <row r="54" spans="5:14" x14ac:dyDescent="0.3">
      <c r="E54" t="s">
        <v>414</v>
      </c>
      <c r="H54" s="40">
        <v>44995</v>
      </c>
      <c r="I54" s="40">
        <v>497</v>
      </c>
      <c r="J54">
        <f>SUM(J3:J53)</f>
        <v>2974496</v>
      </c>
      <c r="K54">
        <f>SUM(K3:K53)</f>
        <v>6356672</v>
      </c>
      <c r="M54" s="164">
        <f>SUM(M3:M53)</f>
        <v>1335488</v>
      </c>
    </row>
    <row r="55" spans="5:14" x14ac:dyDescent="0.3">
      <c r="N55" s="166">
        <f>J54+M54</f>
        <v>4309984</v>
      </c>
    </row>
    <row r="58" spans="5:14" x14ac:dyDescent="0.3">
      <c r="I58">
        <f>4310000</f>
        <v>4310000</v>
      </c>
      <c r="L58" s="166">
        <f>J54+M54</f>
        <v>4309984</v>
      </c>
    </row>
  </sheetData>
  <mergeCells count="1">
    <mergeCell ref="E1:H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74997-E513-8F49-89D1-4F20E1ABC9B3}">
  <sheetPr codeName="Hoja8"/>
  <dimension ref="A1:W25"/>
  <sheetViews>
    <sheetView workbookViewId="0"/>
  </sheetViews>
  <sheetFormatPr baseColWidth="10" defaultColWidth="11.44140625" defaultRowHeight="14.4" x14ac:dyDescent="0.3"/>
  <cols>
    <col min="1" max="1" width="17" bestFit="1" customWidth="1"/>
    <col min="2" max="2" width="3.109375" bestFit="1" customWidth="1"/>
    <col min="3" max="3" width="6.109375" bestFit="1" customWidth="1"/>
    <col min="4" max="4" width="5.109375" bestFit="1" customWidth="1"/>
    <col min="5" max="5" width="12.109375" bestFit="1" customWidth="1"/>
    <col min="6" max="6" width="7.109375" bestFit="1" customWidth="1"/>
    <col min="8" max="8" width="1.77734375" customWidth="1"/>
    <col min="9" max="9" width="18.44140625" bestFit="1" customWidth="1"/>
    <col min="10" max="10" width="8.88671875" bestFit="1" customWidth="1"/>
    <col min="11" max="11" width="14.44140625" bestFit="1" customWidth="1"/>
    <col min="12" max="12" width="6.6640625" bestFit="1" customWidth="1"/>
    <col min="13" max="13" width="5.109375" bestFit="1" customWidth="1"/>
    <col min="14" max="14" width="7" style="24" bestFit="1" customWidth="1"/>
    <col min="15" max="15" width="2.109375" bestFit="1" customWidth="1"/>
    <col min="16" max="16" width="4.33203125" bestFit="1" customWidth="1"/>
    <col min="17" max="17" width="6" bestFit="1" customWidth="1"/>
    <col min="18" max="18" width="7" bestFit="1" customWidth="1"/>
    <col min="19" max="19" width="1.77734375" customWidth="1"/>
    <col min="20" max="20" width="16.44140625" bestFit="1" customWidth="1"/>
    <col min="21" max="22" width="0" hidden="1" customWidth="1"/>
    <col min="23" max="23" width="5.109375" bestFit="1" customWidth="1"/>
  </cols>
  <sheetData>
    <row r="1" spans="1:23" x14ac:dyDescent="0.3">
      <c r="A1" s="7" t="s">
        <v>420</v>
      </c>
      <c r="B1" s="7" t="s">
        <v>374</v>
      </c>
      <c r="C1" s="7" t="s">
        <v>421</v>
      </c>
      <c r="D1" s="7" t="s">
        <v>422</v>
      </c>
      <c r="E1" s="7" t="s">
        <v>423</v>
      </c>
      <c r="F1" s="7" t="s">
        <v>424</v>
      </c>
      <c r="G1" s="7" t="s">
        <v>425</v>
      </c>
      <c r="H1" s="7"/>
      <c r="I1" s="15" t="s">
        <v>426</v>
      </c>
      <c r="J1" t="s">
        <v>427</v>
      </c>
      <c r="K1" t="s">
        <v>428</v>
      </c>
      <c r="L1" t="s">
        <v>429</v>
      </c>
      <c r="M1" s="19" t="s">
        <v>430</v>
      </c>
      <c r="N1" s="23" t="s">
        <v>431</v>
      </c>
      <c r="P1" s="22" t="s">
        <v>432</v>
      </c>
      <c r="Q1" s="22" t="s">
        <v>433</v>
      </c>
      <c r="T1" s="7" t="s">
        <v>434</v>
      </c>
      <c r="U1" s="7"/>
      <c r="V1" s="7"/>
      <c r="W1" s="7" t="s">
        <v>435</v>
      </c>
    </row>
    <row r="2" spans="1:23" x14ac:dyDescent="0.3">
      <c r="A2" t="s">
        <v>436</v>
      </c>
      <c r="B2">
        <v>18</v>
      </c>
      <c r="C2">
        <f>+D2+B2</f>
        <v>84</v>
      </c>
      <c r="D2">
        <v>66</v>
      </c>
      <c r="E2" t="s">
        <v>437</v>
      </c>
      <c r="F2">
        <f>100+10</f>
        <v>110</v>
      </c>
      <c r="I2" s="18" t="s">
        <v>436</v>
      </c>
      <c r="J2" s="40">
        <v>290</v>
      </c>
      <c r="K2" s="40">
        <v>265</v>
      </c>
      <c r="L2" s="40">
        <v>211</v>
      </c>
      <c r="M2">
        <v>0</v>
      </c>
      <c r="N2" s="24">
        <f>+K2/3</f>
        <v>88.333333333333329</v>
      </c>
      <c r="O2" t="s">
        <v>438</v>
      </c>
      <c r="P2">
        <f>30*7</f>
        <v>210</v>
      </c>
      <c r="Q2">
        <v>120</v>
      </c>
      <c r="R2" t="s">
        <v>439</v>
      </c>
      <c r="T2" t="s">
        <v>440</v>
      </c>
      <c r="U2">
        <v>4</v>
      </c>
      <c r="V2">
        <f>+U2/$U$7</f>
        <v>0.16666666666666666</v>
      </c>
      <c r="W2">
        <v>33</v>
      </c>
    </row>
    <row r="3" spans="1:23" x14ac:dyDescent="0.3">
      <c r="A3" t="s">
        <v>441</v>
      </c>
      <c r="B3">
        <v>16</v>
      </c>
      <c r="C3">
        <f>+D3+B3</f>
        <v>84</v>
      </c>
      <c r="D3">
        <v>68</v>
      </c>
      <c r="E3" t="s">
        <v>437</v>
      </c>
      <c r="F3">
        <f>80-10</f>
        <v>70</v>
      </c>
      <c r="I3" s="18" t="s">
        <v>442</v>
      </c>
      <c r="J3" s="40">
        <v>167</v>
      </c>
      <c r="K3" s="40">
        <v>319</v>
      </c>
      <c r="L3" s="40">
        <v>217</v>
      </c>
      <c r="M3">
        <f>+L3-$L$2</f>
        <v>6</v>
      </c>
      <c r="N3" s="24">
        <f t="shared" ref="N3:N8" si="0">+K3/3</f>
        <v>106.33333333333333</v>
      </c>
      <c r="O3" t="s">
        <v>443</v>
      </c>
      <c r="P3">
        <v>45</v>
      </c>
      <c r="Q3">
        <f>+P3</f>
        <v>45</v>
      </c>
      <c r="R3" t="s">
        <v>443</v>
      </c>
      <c r="T3" t="s">
        <v>444</v>
      </c>
      <c r="U3">
        <v>2</v>
      </c>
      <c r="V3">
        <f t="shared" ref="V3:V6" si="1">+U3/$U$7</f>
        <v>8.3333333333333329E-2</v>
      </c>
      <c r="W3">
        <v>17</v>
      </c>
    </row>
    <row r="4" spans="1:23" x14ac:dyDescent="0.3">
      <c r="A4" t="s">
        <v>445</v>
      </c>
      <c r="B4">
        <v>22</v>
      </c>
      <c r="C4">
        <f>+D4+B4</f>
        <v>93</v>
      </c>
      <c r="D4">
        <v>71</v>
      </c>
      <c r="E4" t="s">
        <v>437</v>
      </c>
      <c r="F4">
        <v>10</v>
      </c>
      <c r="I4" s="18" t="s">
        <v>446</v>
      </c>
      <c r="J4" s="40">
        <v>90</v>
      </c>
      <c r="K4" s="40">
        <v>257</v>
      </c>
      <c r="L4" s="40">
        <v>221</v>
      </c>
      <c r="M4">
        <f t="shared" ref="M4:M8" si="2">+L4-$L$2</f>
        <v>10</v>
      </c>
      <c r="N4" s="24">
        <f t="shared" si="0"/>
        <v>85.666666666666671</v>
      </c>
      <c r="O4" t="s">
        <v>447</v>
      </c>
      <c r="P4">
        <f>+P2-P3</f>
        <v>165</v>
      </c>
      <c r="Q4">
        <f>+Q2+Q3</f>
        <v>165</v>
      </c>
      <c r="R4" t="s">
        <v>447</v>
      </c>
      <c r="T4" t="s">
        <v>446</v>
      </c>
      <c r="U4">
        <v>6</v>
      </c>
      <c r="V4">
        <f t="shared" si="1"/>
        <v>0.25</v>
      </c>
      <c r="W4">
        <f>+V4*$W$7</f>
        <v>50</v>
      </c>
    </row>
    <row r="5" spans="1:23" x14ac:dyDescent="0.3">
      <c r="A5" t="s">
        <v>446</v>
      </c>
      <c r="B5">
        <v>12</v>
      </c>
      <c r="C5">
        <f>+D5+B5</f>
        <v>86</v>
      </c>
      <c r="D5">
        <v>74</v>
      </c>
      <c r="E5" t="s">
        <v>437</v>
      </c>
      <c r="F5">
        <v>-10</v>
      </c>
      <c r="I5" s="18" t="s">
        <v>445</v>
      </c>
      <c r="J5" s="40">
        <v>152</v>
      </c>
      <c r="K5" s="40">
        <v>294</v>
      </c>
      <c r="L5" s="40">
        <v>228</v>
      </c>
      <c r="M5">
        <f t="shared" si="2"/>
        <v>17</v>
      </c>
      <c r="N5" s="24">
        <f t="shared" si="0"/>
        <v>98</v>
      </c>
      <c r="O5">
        <v>1</v>
      </c>
      <c r="P5">
        <v>100</v>
      </c>
      <c r="Q5">
        <f>+Q4-Q6</f>
        <v>100</v>
      </c>
      <c r="T5" t="s">
        <v>441</v>
      </c>
      <c r="U5">
        <v>6</v>
      </c>
      <c r="V5">
        <f t="shared" si="1"/>
        <v>0.25</v>
      </c>
      <c r="W5">
        <f>+V5*$W$7</f>
        <v>50</v>
      </c>
    </row>
    <row r="6" spans="1:23" x14ac:dyDescent="0.3">
      <c r="A6" t="s">
        <v>448</v>
      </c>
      <c r="B6">
        <v>22</v>
      </c>
      <c r="C6">
        <v>96</v>
      </c>
      <c r="D6">
        <f t="shared" ref="D6:D25" si="3">+C6-B6</f>
        <v>74</v>
      </c>
      <c r="E6" t="s">
        <v>437</v>
      </c>
      <c r="F6">
        <v>2</v>
      </c>
      <c r="I6" s="18" t="s">
        <v>449</v>
      </c>
      <c r="J6" s="40">
        <v>21</v>
      </c>
      <c r="K6" s="40">
        <v>304</v>
      </c>
      <c r="L6" s="40">
        <v>235</v>
      </c>
      <c r="M6">
        <f t="shared" si="2"/>
        <v>24</v>
      </c>
      <c r="N6" s="24">
        <f t="shared" si="0"/>
        <v>101.33333333333333</v>
      </c>
      <c r="O6">
        <v>2</v>
      </c>
      <c r="P6">
        <f>+P4-P5</f>
        <v>65</v>
      </c>
      <c r="Q6">
        <v>65</v>
      </c>
      <c r="R6" s="21"/>
      <c r="T6" t="s">
        <v>449</v>
      </c>
      <c r="U6">
        <v>6</v>
      </c>
      <c r="V6">
        <f t="shared" si="1"/>
        <v>0.25</v>
      </c>
      <c r="W6">
        <f>+V6*$W$7</f>
        <v>50</v>
      </c>
    </row>
    <row r="7" spans="1:23" x14ac:dyDescent="0.3">
      <c r="A7" t="s">
        <v>442</v>
      </c>
      <c r="B7">
        <v>34</v>
      </c>
      <c r="C7">
        <v>109</v>
      </c>
      <c r="D7">
        <f t="shared" si="3"/>
        <v>75</v>
      </c>
      <c r="E7" t="s">
        <v>437</v>
      </c>
      <c r="F7">
        <v>2</v>
      </c>
      <c r="I7" s="18" t="s">
        <v>441</v>
      </c>
      <c r="J7" s="40">
        <v>0</v>
      </c>
      <c r="K7" s="40">
        <v>284</v>
      </c>
      <c r="L7" s="40">
        <v>236</v>
      </c>
      <c r="M7">
        <f t="shared" si="2"/>
        <v>25</v>
      </c>
      <c r="N7" s="24">
        <f t="shared" si="0"/>
        <v>94.666666666666671</v>
      </c>
      <c r="T7" s="22" t="s">
        <v>450</v>
      </c>
      <c r="U7" s="22">
        <f>SUM(U2:U6)</f>
        <v>24</v>
      </c>
      <c r="V7" s="22">
        <f>+U7/$U$7</f>
        <v>1</v>
      </c>
      <c r="W7" s="22">
        <v>200</v>
      </c>
    </row>
    <row r="8" spans="1:23" x14ac:dyDescent="0.3">
      <c r="A8" t="s">
        <v>449</v>
      </c>
      <c r="B8">
        <v>23</v>
      </c>
      <c r="C8">
        <v>101</v>
      </c>
      <c r="D8">
        <f t="shared" si="3"/>
        <v>78</v>
      </c>
      <c r="E8" t="s">
        <v>437</v>
      </c>
      <c r="F8">
        <v>-2</v>
      </c>
      <c r="G8">
        <v>60</v>
      </c>
      <c r="I8" s="18" t="s">
        <v>451</v>
      </c>
      <c r="J8" s="40">
        <v>-62</v>
      </c>
      <c r="K8" s="40">
        <v>372</v>
      </c>
      <c r="L8" s="40">
        <v>258</v>
      </c>
      <c r="M8">
        <f t="shared" si="2"/>
        <v>47</v>
      </c>
      <c r="N8" s="24">
        <f t="shared" si="0"/>
        <v>124</v>
      </c>
    </row>
    <row r="9" spans="1:23" x14ac:dyDescent="0.3">
      <c r="A9" t="s">
        <v>451</v>
      </c>
      <c r="B9">
        <v>38</v>
      </c>
      <c r="C9">
        <v>120</v>
      </c>
      <c r="D9">
        <f t="shared" si="3"/>
        <v>82</v>
      </c>
      <c r="E9" t="s">
        <v>437</v>
      </c>
      <c r="F9">
        <v>-2</v>
      </c>
      <c r="I9" s="18" t="s">
        <v>414</v>
      </c>
      <c r="J9" s="40">
        <v>658</v>
      </c>
      <c r="K9" s="40">
        <v>2095</v>
      </c>
      <c r="L9" s="40">
        <v>1606</v>
      </c>
    </row>
    <row r="10" spans="1:23" x14ac:dyDescent="0.3">
      <c r="A10" t="s">
        <v>436</v>
      </c>
      <c r="B10">
        <v>18</v>
      </c>
      <c r="C10">
        <v>89</v>
      </c>
      <c r="D10">
        <f t="shared" si="3"/>
        <v>71</v>
      </c>
      <c r="E10" t="s">
        <v>452</v>
      </c>
      <c r="F10">
        <f>90+30</f>
        <v>120</v>
      </c>
      <c r="M10" s="20"/>
      <c r="N10" s="23"/>
    </row>
    <row r="11" spans="1:23" x14ac:dyDescent="0.3">
      <c r="A11" t="s">
        <v>442</v>
      </c>
      <c r="B11">
        <v>34</v>
      </c>
      <c r="C11">
        <v>105</v>
      </c>
      <c r="D11">
        <f t="shared" si="3"/>
        <v>71</v>
      </c>
      <c r="E11" t="s">
        <v>452</v>
      </c>
      <c r="F11">
        <f>90-30</f>
        <v>60</v>
      </c>
    </row>
    <row r="12" spans="1:23" x14ac:dyDescent="0.3">
      <c r="A12" t="s">
        <v>449</v>
      </c>
      <c r="B12">
        <v>23</v>
      </c>
      <c r="C12">
        <v>104</v>
      </c>
      <c r="D12">
        <f t="shared" si="3"/>
        <v>81</v>
      </c>
      <c r="E12" t="s">
        <v>452</v>
      </c>
      <c r="F12">
        <v>40</v>
      </c>
      <c r="G12">
        <v>60</v>
      </c>
    </row>
    <row r="13" spans="1:23" x14ac:dyDescent="0.3">
      <c r="A13" t="s">
        <v>446</v>
      </c>
      <c r="B13">
        <v>12</v>
      </c>
      <c r="C13">
        <v>94</v>
      </c>
      <c r="D13">
        <f t="shared" si="3"/>
        <v>82</v>
      </c>
      <c r="E13" t="s">
        <v>452</v>
      </c>
      <c r="F13">
        <v>-40</v>
      </c>
    </row>
    <row r="14" spans="1:23" x14ac:dyDescent="0.3">
      <c r="A14" t="s">
        <v>448</v>
      </c>
      <c r="B14">
        <v>22</v>
      </c>
      <c r="C14">
        <v>107</v>
      </c>
      <c r="D14">
        <f t="shared" si="3"/>
        <v>85</v>
      </c>
      <c r="E14" t="s">
        <v>452</v>
      </c>
      <c r="F14">
        <v>30</v>
      </c>
    </row>
    <row r="15" spans="1:23" x14ac:dyDescent="0.3">
      <c r="A15" t="s">
        <v>445</v>
      </c>
      <c r="B15">
        <v>22</v>
      </c>
      <c r="C15">
        <v>110</v>
      </c>
      <c r="D15">
        <f t="shared" si="3"/>
        <v>88</v>
      </c>
      <c r="E15" t="s">
        <v>452</v>
      </c>
      <c r="F15">
        <v>40</v>
      </c>
    </row>
    <row r="16" spans="1:23" x14ac:dyDescent="0.3">
      <c r="A16" t="s">
        <v>441</v>
      </c>
      <c r="B16">
        <v>16</v>
      </c>
      <c r="C16">
        <v>105</v>
      </c>
      <c r="D16">
        <f t="shared" si="3"/>
        <v>89</v>
      </c>
      <c r="E16" t="s">
        <v>452</v>
      </c>
      <c r="F16">
        <v>-30</v>
      </c>
    </row>
    <row r="17" spans="1:6" x14ac:dyDescent="0.3">
      <c r="A17" t="s">
        <v>451</v>
      </c>
      <c r="B17">
        <v>38</v>
      </c>
      <c r="C17">
        <v>141</v>
      </c>
      <c r="D17">
        <f t="shared" si="3"/>
        <v>103</v>
      </c>
      <c r="E17" t="s">
        <v>452</v>
      </c>
      <c r="F17">
        <v>-40</v>
      </c>
    </row>
    <row r="18" spans="1:6" x14ac:dyDescent="0.3">
      <c r="A18" t="s">
        <v>436</v>
      </c>
      <c r="B18">
        <v>18</v>
      </c>
      <c r="C18">
        <v>92</v>
      </c>
      <c r="D18">
        <f t="shared" si="3"/>
        <v>74</v>
      </c>
      <c r="E18" t="s">
        <v>453</v>
      </c>
      <c r="F18">
        <f>100-40</f>
        <v>60</v>
      </c>
    </row>
    <row r="19" spans="1:6" x14ac:dyDescent="0.3">
      <c r="A19" t="s">
        <v>442</v>
      </c>
      <c r="B19">
        <v>34</v>
      </c>
      <c r="C19">
        <v>105</v>
      </c>
      <c r="D19">
        <f t="shared" si="3"/>
        <v>71</v>
      </c>
      <c r="E19" t="s">
        <v>453</v>
      </c>
      <c r="F19">
        <f>65+40</f>
        <v>105</v>
      </c>
    </row>
    <row r="20" spans="1:6" x14ac:dyDescent="0.3">
      <c r="A20" t="s">
        <v>449</v>
      </c>
      <c r="B20">
        <v>23</v>
      </c>
      <c r="C20">
        <v>99</v>
      </c>
      <c r="D20">
        <f t="shared" si="3"/>
        <v>76</v>
      </c>
      <c r="E20" t="s">
        <v>453</v>
      </c>
      <c r="F20">
        <v>-17</v>
      </c>
    </row>
    <row r="21" spans="1:6" x14ac:dyDescent="0.3">
      <c r="A21" t="s">
        <v>446</v>
      </c>
      <c r="B21">
        <v>12</v>
      </c>
      <c r="C21">
        <v>77</v>
      </c>
      <c r="D21">
        <f t="shared" si="3"/>
        <v>65</v>
      </c>
      <c r="E21" t="s">
        <v>453</v>
      </c>
      <c r="F21">
        <f>100+40</f>
        <v>140</v>
      </c>
    </row>
    <row r="22" spans="1:6" x14ac:dyDescent="0.3">
      <c r="A22" t="s">
        <v>448</v>
      </c>
      <c r="B22">
        <v>22</v>
      </c>
      <c r="C22">
        <v>0</v>
      </c>
      <c r="D22">
        <v>100</v>
      </c>
      <c r="E22" t="s">
        <v>453</v>
      </c>
    </row>
    <row r="23" spans="1:6" x14ac:dyDescent="0.3">
      <c r="A23" t="s">
        <v>445</v>
      </c>
      <c r="B23">
        <v>22</v>
      </c>
      <c r="C23">
        <v>91</v>
      </c>
      <c r="D23">
        <f t="shared" si="3"/>
        <v>69</v>
      </c>
      <c r="E23" t="s">
        <v>453</v>
      </c>
      <c r="F23">
        <f>65+37</f>
        <v>102</v>
      </c>
    </row>
    <row r="24" spans="1:6" x14ac:dyDescent="0.3">
      <c r="A24" t="s">
        <v>441</v>
      </c>
      <c r="B24">
        <v>16</v>
      </c>
      <c r="C24">
        <v>95</v>
      </c>
      <c r="D24">
        <f t="shared" si="3"/>
        <v>79</v>
      </c>
      <c r="E24" t="s">
        <v>453</v>
      </c>
      <c r="F24">
        <v>-40</v>
      </c>
    </row>
    <row r="25" spans="1:6" x14ac:dyDescent="0.3">
      <c r="A25" t="s">
        <v>451</v>
      </c>
      <c r="B25">
        <v>38</v>
      </c>
      <c r="C25">
        <v>111</v>
      </c>
      <c r="D25">
        <f t="shared" si="3"/>
        <v>73</v>
      </c>
      <c r="E25" t="s">
        <v>453</v>
      </c>
      <c r="F25">
        <v>-20</v>
      </c>
    </row>
  </sheetData>
  <sortState xmlns:xlrd2="http://schemas.microsoft.com/office/spreadsheetml/2017/richdata2" ref="A2:F17">
    <sortCondition ref="E2:E17"/>
    <sortCondition ref="D2:D1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4</vt:i4>
      </vt:variant>
    </vt:vector>
  </HeadingPairs>
  <TitlesOfParts>
    <vt:vector size="16" baseType="lpstr">
      <vt:lpstr>SABADO</vt:lpstr>
      <vt:lpstr>VIERNES</vt:lpstr>
      <vt:lpstr>jugadores</vt:lpstr>
      <vt:lpstr>the president</vt:lpstr>
      <vt:lpstr>Indices</vt:lpstr>
      <vt:lpstr>Equipos</vt:lpstr>
      <vt:lpstr>Resultados</vt:lpstr>
      <vt:lpstr>Hoja2</vt:lpstr>
      <vt:lpstr>Puntos</vt:lpstr>
      <vt:lpstr>Palmares</vt:lpstr>
      <vt:lpstr>Hoja3</vt:lpstr>
      <vt:lpstr>Hoja1</vt:lpstr>
      <vt:lpstr>SABADO!Área_de_impresión</vt:lpstr>
      <vt:lpstr>'the president'!Área_de_impresión</vt:lpstr>
      <vt:lpstr>VIERNES!Área_de_impresión</vt:lpstr>
      <vt:lpstr>RESULTADOS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Fernando Moreno</cp:lastModifiedBy>
  <cp:revision/>
  <cp:lastPrinted>2026-10-01T02:29:14Z</cp:lastPrinted>
  <dcterms:created xsi:type="dcterms:W3CDTF">2025-01-18T01:05:39Z</dcterms:created>
  <dcterms:modified xsi:type="dcterms:W3CDTF">2026-10-01T02:52:22Z</dcterms:modified>
  <cp:category/>
  <cp:contentStatus/>
</cp:coreProperties>
</file>